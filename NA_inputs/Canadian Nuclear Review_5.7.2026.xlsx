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energyagnam-my.sharepoint.com/personal/david_nordenmalm_siemens-energy_com/Documents/Desktop/PMK/Sales - New Units Files/2026/"/>
    </mc:Choice>
  </mc:AlternateContent>
  <bookViews>
    <workbookView xWindow="-120" yWindow="-120" windowWidth="29040" windowHeight="15720" xr2:uid="{04CC1AFA-BFB9-4D32-A68E-972C01660D31}"/>
  </bookViews>
  <sheets>
    <sheet name="Totals" sheetId="7" r:id="rId1"/>
    <sheet name="A&amp;R" sheetId="1" r:id="rId2"/>
    <sheet name="IRP &amp; RFP" sheetId="2" r:id="rId3"/>
    <sheet name="Uprates" sheetId="3" r:id="rId4"/>
    <sheet name="A&amp;R Pivot" sheetId="4" r:id="rId5"/>
    <sheet name="IRP &amp; RFP Pivot" sheetId="5" r:id="rId6"/>
    <sheet name="Uprates Pivot" sheetId="6" r:id="rId7"/>
  </sheets>
  <definedNames>
    <definedName name="_xlnm._FilterDatabase" localSheetId="1" hidden="1">'A&amp;R'!$A$1:$AL$1</definedName>
    <definedName name="_xlnm._FilterDatabase" localSheetId="2" hidden="1">'IRP &amp; RFP'!$A$1:$AG$1</definedName>
    <definedName name="_xlnm._FilterDatabase" localSheetId="3" hidden="1">Uprates!$A$1:$U$1</definedName>
  </definedNames>
  <calcPr calcId="0"/>
  <pivotCaches>
    <pivotCache cacheId="9" r:id="rId8"/>
    <pivotCache cacheId="15" r:id="rId9"/>
    <pivotCache cacheId="13" r:id="rId10"/>
  </pivotCaches>
</workbook>
</file>

<file path=xl/calcChain.xml><?xml version="1.0" encoding="utf-8"?>
<calcChain xmlns="http://schemas.openxmlformats.org/spreadsheetml/2006/main">
  <c r="C6" i="7" l="1"/>
  <c r="C8" i="7"/>
  <c r="C10" i="7"/>
  <c r="C11" i="7"/>
  <c r="C13" i="7"/>
  <c r="D5" i="7"/>
  <c r="C5" i="7" s="1"/>
  <c r="I3" i="3"/>
  <c r="I4" i="3"/>
  <c r="I5" i="3"/>
  <c r="I6" i="3"/>
  <c r="I7" i="3"/>
  <c r="I8" i="3"/>
  <c r="I9" i="3"/>
  <c r="I2" i="3"/>
  <c r="F9" i="7"/>
  <c r="E20" i="7"/>
  <c r="E19" i="7"/>
  <c r="E18" i="7"/>
  <c r="E17" i="7"/>
  <c r="D20" i="7"/>
  <c r="D19" i="7"/>
  <c r="D18" i="7"/>
  <c r="D16" i="7"/>
  <c r="D14" i="7"/>
  <c r="D12" i="7"/>
  <c r="D9" i="7"/>
  <c r="D7" i="7"/>
  <c r="C7" i="7" l="1"/>
  <c r="C9" i="7"/>
  <c r="C15" i="7" s="1"/>
  <c r="C21" i="7" s="1"/>
  <c r="C12" i="7"/>
  <c r="C14" i="7"/>
  <c r="C16" i="7"/>
  <c r="C18" i="7"/>
  <c r="C19" i="7"/>
  <c r="C20" i="7"/>
  <c r="C17" i="7"/>
</calcChain>
</file>

<file path=xl/sharedStrings.xml><?xml version="1.0" encoding="utf-8"?>
<sst xmlns="http://schemas.openxmlformats.org/spreadsheetml/2006/main" count="1035" uniqueCount="293">
  <si>
    <t>Power Plant Unit Key</t>
  </si>
  <si>
    <t>Power Plant Key</t>
  </si>
  <si>
    <t>AUR RNA ID</t>
  </si>
  <si>
    <t>Aurora Area</t>
  </si>
  <si>
    <t>ISO Project ID</t>
  </si>
  <si>
    <t>SNL Unit Name</t>
  </si>
  <si>
    <t>Interconnected Utility Company</t>
  </si>
  <si>
    <t>Power Control Area</t>
  </si>
  <si>
    <t>Fuel Type</t>
  </si>
  <si>
    <t>County</t>
  </si>
  <si>
    <t>State</t>
  </si>
  <si>
    <t>Dispatching ISO</t>
  </si>
  <si>
    <t>Unit Nameplate Capacity</t>
  </si>
  <si>
    <t>Scenario Operating Status</t>
  </si>
  <si>
    <t>Operating Status Comments</t>
  </si>
  <si>
    <t>Scenario In Service Date</t>
  </si>
  <si>
    <t>In Service Date Source</t>
  </si>
  <si>
    <t>In Service Date Comments</t>
  </si>
  <si>
    <t>SNL Operating Status</t>
  </si>
  <si>
    <t>SNL In Service Date</t>
  </si>
  <si>
    <t>Turbine Type</t>
  </si>
  <si>
    <t>Turbine Manufacturer</t>
  </si>
  <si>
    <t>Manufacturer</t>
  </si>
  <si>
    <t>Technology Type</t>
  </si>
  <si>
    <t>Generation Technology</t>
  </si>
  <si>
    <t>Technology Detail</t>
  </si>
  <si>
    <t>Include In Scenario Comments</t>
  </si>
  <si>
    <t>Retirement Date Comments</t>
  </si>
  <si>
    <t>Longitude</t>
  </si>
  <si>
    <t>Latitude</t>
  </si>
  <si>
    <t>NR_SNL27151</t>
  </si>
  <si>
    <t>Nanticoke CDU 2</t>
  </si>
  <si>
    <t>Independent Electricity System Operator</t>
  </si>
  <si>
    <t>Nuclear</t>
  </si>
  <si>
    <t>Haldimand</t>
  </si>
  <si>
    <t>ON</t>
  </si>
  <si>
    <t>Ontario</t>
  </si>
  <si>
    <t>Announced</t>
  </si>
  <si>
    <t>Per New Units File and OPG Energy Plan</t>
  </si>
  <si>
    <t>Sales</t>
  </si>
  <si>
    <t>Per New Units File provided by Robert - 8.12.2025</t>
  </si>
  <si>
    <t>Terminated</t>
  </si>
  <si>
    <t>CANDU</t>
  </si>
  <si>
    <t>Per New Units File</t>
  </si>
  <si>
    <t>NR_SNL26429</t>
  </si>
  <si>
    <t>Nanticoke CDU 1</t>
  </si>
  <si>
    <t>NR_SNL27305</t>
  </si>
  <si>
    <t>Bruce CDU 4</t>
  </si>
  <si>
    <t>Kincardine</t>
  </si>
  <si>
    <t>Early Development</t>
  </si>
  <si>
    <t>State/Local Document</t>
  </si>
  <si>
    <t>Per OPGs Energy Plan - 8.12.2025</t>
  </si>
  <si>
    <t>Units called out in OPGs plan for new large scale nuclear</t>
  </si>
  <si>
    <t>NR_SNL27304</t>
  </si>
  <si>
    <t>Bruce CDU 3</t>
  </si>
  <si>
    <t>NR_SNL27303</t>
  </si>
  <si>
    <t>Bruce CDU 2</t>
  </si>
  <si>
    <t>NR_SNL27302</t>
  </si>
  <si>
    <t>Bruce CDU 1</t>
  </si>
  <si>
    <t>NR_SNL244456</t>
  </si>
  <si>
    <t>Wesleyville CDU 8</t>
  </si>
  <si>
    <t>Port Hope</t>
  </si>
  <si>
    <t>SNL</t>
  </si>
  <si>
    <t>Monthly SNL Updates</t>
  </si>
  <si>
    <t>SNL New Unit</t>
  </si>
  <si>
    <t>NR_SNL243309</t>
  </si>
  <si>
    <t>Peace River Nuclear CDU 2</t>
  </si>
  <si>
    <t>Alberta Electric System Operator</t>
  </si>
  <si>
    <t>Northern Lights County</t>
  </si>
  <si>
    <t>AB</t>
  </si>
  <si>
    <t>NR_SNL243310</t>
  </si>
  <si>
    <t>Peace River Nuclear CDU 3</t>
  </si>
  <si>
    <t>NR_SNL243273</t>
  </si>
  <si>
    <t>Peace River Nuclear CDU 1</t>
  </si>
  <si>
    <t>NR_SNL244455</t>
  </si>
  <si>
    <t>Wesleyville CDU 7</t>
  </si>
  <si>
    <t>NR_SNL244442</t>
  </si>
  <si>
    <t>Wesleyville CDU 5</t>
  </si>
  <si>
    <t>NR_SNL243311</t>
  </si>
  <si>
    <t>Peace River Nuclear CDU 4</t>
  </si>
  <si>
    <t>NR_SNL244454</t>
  </si>
  <si>
    <t>Wesleyville CDU 6</t>
  </si>
  <si>
    <t>NR_SNL239336</t>
  </si>
  <si>
    <t>Wesleyville CDU 1</t>
  </si>
  <si>
    <t>NR_SNL244440</t>
  </si>
  <si>
    <t>Wesleyville CDU 3</t>
  </si>
  <si>
    <t>NR_SNL244439</t>
  </si>
  <si>
    <t>Wesleyville CDU 2</t>
  </si>
  <si>
    <t>NR_SNL244441</t>
  </si>
  <si>
    <t>Wesleyville CDU 4</t>
  </si>
  <si>
    <t>Darlington CDU 2</t>
  </si>
  <si>
    <t>Clarington</t>
  </si>
  <si>
    <t>Operating</t>
  </si>
  <si>
    <t>BBC</t>
  </si>
  <si>
    <t>Based on Renewal Extension</t>
  </si>
  <si>
    <t>Darlington CDU 1</t>
  </si>
  <si>
    <t>ABB</t>
  </si>
  <si>
    <t>Updated retirement date per request from S.S. 02262020</t>
  </si>
  <si>
    <t>Darlington CDU 3</t>
  </si>
  <si>
    <t>Updating INCL_IN_SCN=Y to pass historical retirement date - 02032021</t>
  </si>
  <si>
    <t>Darlington CDU 4</t>
  </si>
  <si>
    <t>Bruce CDU 6</t>
  </si>
  <si>
    <t>Per SNL Article Bruce 6 has completed refurbishment of the unit on September 8th 2023</t>
  </si>
  <si>
    <t>GE</t>
  </si>
  <si>
    <t>Updating INCL IN SCN = Y to bring in retired unit to pass retirement date to Aurora</t>
  </si>
  <si>
    <t>Updating Retirement date per email from S.S. on 02252020 @ 1932</t>
  </si>
  <si>
    <t>Bruce CDU 8</t>
  </si>
  <si>
    <t>Bruce CDU 5</t>
  </si>
  <si>
    <t>Bruce CDU 7</t>
  </si>
  <si>
    <t>Allis Chalmers</t>
  </si>
  <si>
    <t>Out of Service</t>
  </si>
  <si>
    <t>Parsons</t>
  </si>
  <si>
    <t>Removing Accelerated Retirement Impact to Nuclear Units.</t>
  </si>
  <si>
    <t>Point Lepreau CDU 1</t>
  </si>
  <si>
    <t>New Brunswick Power Corporation</t>
  </si>
  <si>
    <t>Musquash</t>
  </si>
  <si>
    <t>NB</t>
  </si>
  <si>
    <t>New Brunswick</t>
  </si>
  <si>
    <t>Per Salesperson Feedback email on 05.05.21 at 08:16</t>
  </si>
  <si>
    <t>Pickering CDU 8</t>
  </si>
  <si>
    <t>Pickering</t>
  </si>
  <si>
    <t>The Units 5-8 will go through refurbishment in 2026-2032 and we expect an additional 30 years of service once complete - 2.1.2024</t>
  </si>
  <si>
    <t>Pickering CDU 6</t>
  </si>
  <si>
    <t>Pickering CDU 7</t>
  </si>
  <si>
    <t>Pickering CDU 5</t>
  </si>
  <si>
    <t>NR_SNL227516</t>
  </si>
  <si>
    <t>Saskatchewan SMR Nuclear CDU 1</t>
  </si>
  <si>
    <t>SaskPower International Inc.</t>
  </si>
  <si>
    <t>Correction</t>
  </si>
  <si>
    <t>Per Pradip Input - project is more likely for 2032 or beyond - 12.10.2025</t>
  </si>
  <si>
    <t>NR_SNL153909</t>
  </si>
  <si>
    <t>Point Lepreau OTH 1</t>
  </si>
  <si>
    <t>Project is in New Units List - 4.30.2026</t>
  </si>
  <si>
    <t>NR_SNL135176</t>
  </si>
  <si>
    <t>Darlington BWR A</t>
  </si>
  <si>
    <t>Under Construction</t>
  </si>
  <si>
    <t>Per Article Darlington SMR has been approved to start construction - 5.9.2025</t>
  </si>
  <si>
    <t>Boiling Water Reactor</t>
  </si>
  <si>
    <t>NR_SNL221787</t>
  </si>
  <si>
    <t>Darlington BWR D</t>
  </si>
  <si>
    <t>NR_SNL221786</t>
  </si>
  <si>
    <t>Darlington BWR C</t>
  </si>
  <si>
    <t>NR_SNL221785</t>
  </si>
  <si>
    <t>Darlington BWR B</t>
  </si>
  <si>
    <t>NR_SNL111266</t>
  </si>
  <si>
    <t>Stable Salt Reactor OTH 1</t>
  </si>
  <si>
    <t>Delay - 1 Year</t>
  </si>
  <si>
    <t>Delaying 12 months to push out of our &lt;2035 view - 12.10.2025</t>
  </si>
  <si>
    <t>Include in Scenario per SS review 08242021 see In service date Comments for note</t>
  </si>
  <si>
    <t>NR_SNL92504</t>
  </si>
  <si>
    <t>GFP MMR BWR 1</t>
  </si>
  <si>
    <t>Deep River</t>
  </si>
  <si>
    <t>Unit Name</t>
  </si>
  <si>
    <t>Aur Rna Id</t>
  </si>
  <si>
    <t>Unit Key</t>
  </si>
  <si>
    <t>Unit Type</t>
  </si>
  <si>
    <t>Status</t>
  </si>
  <si>
    <t>Resources</t>
  </si>
  <si>
    <t>Year</t>
  </si>
  <si>
    <t>State/Province</t>
  </si>
  <si>
    <t>County/Parrish</t>
  </si>
  <si>
    <t>Area</t>
  </si>
  <si>
    <t>Primary Fuel Group</t>
  </si>
  <si>
    <t>Current Operating Capacity</t>
  </si>
  <si>
    <t>Zip Code</t>
  </si>
  <si>
    <t>Comments</t>
  </si>
  <si>
    <t>Created By</t>
  </si>
  <si>
    <t>Created User</t>
  </si>
  <si>
    <t>Created Date</t>
  </si>
  <si>
    <t>Updated By</t>
  </si>
  <si>
    <t>Updated User</t>
  </si>
  <si>
    <t>Updated Date</t>
  </si>
  <si>
    <t>Sask Power GE-Hitachi- 300 MW Nuclear</t>
  </si>
  <si>
    <t>NR_RFP7405</t>
  </si>
  <si>
    <t>RFP7405</t>
  </si>
  <si>
    <t>RFP</t>
  </si>
  <si>
    <t>Included</t>
  </si>
  <si>
    <t>300 MW Nuclear</t>
  </si>
  <si>
    <t>Saskatchewan (SK)</t>
  </si>
  <si>
    <t>MRO_Saskatchewan~57</t>
  </si>
  <si>
    <t>SMR</t>
  </si>
  <si>
    <t>Per New Unit Sales SMR List - Opportunity Estavan</t>
  </si>
  <si>
    <t>Z003MCZR</t>
  </si>
  <si>
    <t>David Nordenmalm (Z003MCZR)</t>
  </si>
  <si>
    <t>NR_RFP7406</t>
  </si>
  <si>
    <t>RFP7406</t>
  </si>
  <si>
    <t>Sask Power Westinghouse - 300 MW Nuclear</t>
  </si>
  <si>
    <t>NR_RFP7402</t>
  </si>
  <si>
    <t>RFP7402</t>
  </si>
  <si>
    <t>Per New Unit Sales SMR List</t>
  </si>
  <si>
    <t>NR_RFP7407</t>
  </si>
  <si>
    <t>RFP7407</t>
  </si>
  <si>
    <t>NR_RFP7403</t>
  </si>
  <si>
    <t>RFP7403</t>
  </si>
  <si>
    <t>NR_RFP7408</t>
  </si>
  <si>
    <t>RFP7408</t>
  </si>
  <si>
    <t>NR_RFP7404</t>
  </si>
  <si>
    <t>RFP7404</t>
  </si>
  <si>
    <t>Darlington East Unit 1 - 1000 MW Nuclear</t>
  </si>
  <si>
    <t>NR_RFP7395</t>
  </si>
  <si>
    <t>RFP7395</t>
  </si>
  <si>
    <t>1000 MW Nuclear</t>
  </si>
  <si>
    <t>NPCC_Ontario_East~36</t>
  </si>
  <si>
    <t>Per Sales New Unit SMR List</t>
  </si>
  <si>
    <t>Darlington East Unit 2 - 1000 MW Nuclear</t>
  </si>
  <si>
    <t>NR_RFP7396</t>
  </si>
  <si>
    <t>RFP7396</t>
  </si>
  <si>
    <t>Darlington East Unit 3 - 1000 MW Nuclear</t>
  </si>
  <si>
    <t>NR_RFP7397</t>
  </si>
  <si>
    <t>RFP7397</t>
  </si>
  <si>
    <t>Lambton Unit 1 - 1100 MW Nuclear</t>
  </si>
  <si>
    <t>NR_RFP9521</t>
  </si>
  <si>
    <t>RFP9521</t>
  </si>
  <si>
    <t>1100 MW Nuclear</t>
  </si>
  <si>
    <t>St. Clair</t>
  </si>
  <si>
    <t>NPCC_Ontario_West~33</t>
  </si>
  <si>
    <t>New Unit Sales and OPG Power Plan</t>
  </si>
  <si>
    <t>Darlington East Unit 4 - 1000 MW Nuclear</t>
  </si>
  <si>
    <t>NR_RFP7398</t>
  </si>
  <si>
    <t>RFP7398</t>
  </si>
  <si>
    <t>Lambton Unit 2 - 1100 MW Nuclear</t>
  </si>
  <si>
    <t>NR_RFP9522</t>
  </si>
  <si>
    <t>RFP9522</t>
  </si>
  <si>
    <t>Wesleyville Unit 5 - 1100 MW Nuclear</t>
  </si>
  <si>
    <t>NR_RFP9517</t>
  </si>
  <si>
    <t>RFP9517</t>
  </si>
  <si>
    <t>~16</t>
  </si>
  <si>
    <t>Per OPG publication</t>
  </si>
  <si>
    <t>Wesleyville Unit 6 - 1100 MW Nuclear</t>
  </si>
  <si>
    <t>NR_RFP9518</t>
  </si>
  <si>
    <t>RFP9518</t>
  </si>
  <si>
    <t>Wesleyville Unit 7 - 1100 MW Nuclear</t>
  </si>
  <si>
    <t>NR_RFP9519</t>
  </si>
  <si>
    <t>RFP9519</t>
  </si>
  <si>
    <t>Wesleyville Unit 8 - 1100 MW Nuclear</t>
  </si>
  <si>
    <t>NR_RFP9520</t>
  </si>
  <si>
    <t>RFP9520</t>
  </si>
  <si>
    <t>Plant Name</t>
  </si>
  <si>
    <t>Summer Value</t>
  </si>
  <si>
    <t>Winter Value</t>
  </si>
  <si>
    <t>Upgrade Source</t>
  </si>
  <si>
    <t>Upgrade Type</t>
  </si>
  <si>
    <t>Upgrade Date</t>
  </si>
  <si>
    <t>Upgrade Comments</t>
  </si>
  <si>
    <t>Bruce A</t>
  </si>
  <si>
    <t>75 MW</t>
  </si>
  <si>
    <t>Manual</t>
  </si>
  <si>
    <t>Uprate</t>
  </si>
  <si>
    <t>Active</t>
  </si>
  <si>
    <t>Per Article Bruce Units will receive a 600MW Site Uprate under Project 2030 - https://www.capitaliq.spglobal.com/web/client?auth=inherit#news/article?KeyProductLinkType=2&amp;id=88800522</t>
  </si>
  <si>
    <t>GRINH00P</t>
  </si>
  <si>
    <t>Bruce B</t>
  </si>
  <si>
    <t>A&amp;R Resources</t>
  </si>
  <si>
    <t>IRP/RFP Resources</t>
  </si>
  <si>
    <t>Uprates Capacity</t>
  </si>
  <si>
    <t>Sum of Unit Nameplate Capacity</t>
  </si>
  <si>
    <t>Grand Total</t>
  </si>
  <si>
    <t>1977</t>
  </si>
  <si>
    <t>1978</t>
  </si>
  <si>
    <t>1979</t>
  </si>
  <si>
    <t>1983</t>
  </si>
  <si>
    <t>1984</t>
  </si>
  <si>
    <t>1985</t>
  </si>
  <si>
    <t>1986</t>
  </si>
  <si>
    <t>1990</t>
  </si>
  <si>
    <t>1992</t>
  </si>
  <si>
    <t>1993</t>
  </si>
  <si>
    <t>2028</t>
  </si>
  <si>
    <t>2030</t>
  </si>
  <si>
    <t>2033</t>
  </si>
  <si>
    <t>2035</t>
  </si>
  <si>
    <t>2036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</si>
  <si>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</si>
  <si>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</si>
  <si>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</si>
  <si>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</si>
  <si>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</si>
  <si>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</si>
  <si>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</si>
  <si>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</si>
  <si>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</si>
  <si>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2048</t>
  </si>
  <si>
    <t>Nameplate  Capacity Mw</t>
  </si>
  <si>
    <t>Calculated Uprate Value</t>
  </si>
  <si>
    <t>2060</t>
  </si>
  <si>
    <t>Row Labels</t>
  </si>
  <si>
    <t>Sum of Winter Value</t>
  </si>
  <si>
    <t>Sum of Current Operating Capacity</t>
  </si>
  <si>
    <t>2026 &amp; Operating</t>
  </si>
  <si>
    <t>Total Per Year</t>
  </si>
  <si>
    <t>2035 Outlook</t>
  </si>
  <si>
    <t>2040 Outlook</t>
  </si>
  <si>
    <t>Canadian Nuclear Outlook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</si>
</sst>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33" borderId="14" xfId="0" applyFill="1" applyBorder="1"/>
    <xf numFmtId="0" fontId="0" fillId="33" borderId="17" xfId="0" applyFill="1" applyBorder="1"/>
    <xf numFmtId="0" fontId="0" fillId="33" borderId="19" xfId="0" applyFill="1" applyBorder="1"/>
    <xf numFmtId="0" fontId="0" fillId="33" borderId="15" xfId="0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0" fillId="33" borderId="16" xfId="0" applyFill="1" applyBorder="1"/>
    <xf numFmtId="0" fontId="0" fillId="33" borderId="18" xfId="0" applyFill="1" applyBorder="1"/>
    <xf numFmtId="0" fontId="0" fillId="33" borderId="20" xfId="0" applyFill="1" applyBorder="1"/>
    <xf numFmtId="0" fontId="0" fillId="33" borderId="13" xfId="0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denmalm, David" refreshedDate="46153.640767476849" createdVersion="8" refreshedVersion="8" minRefreshableVersion="3" recordCount="43" xr:uid="{B1084F41-8FCE-4BE8-9D1D-96444DB6CF79}">
  <cacheSource type="worksheet">
    <worksheetSource ref="A1:AD44" sheet="A&amp;R"/>
  </cacheSource>
  <cacheFields count="33">
    <cacheField name="Power Plant Unit Key" numFmtId="0">
      <sharedItems containsSemiMixedTypes="0" containsString="0" containsNumber="1" containsInteger="1" minValue="18972" maxValue="244456"/>
    </cacheField>
    <cacheField name="Power Plant Key" numFmtId="0">
      <sharedItems containsSemiMixedTypes="0" containsString="0" containsNumber="1" containsInteger="1" minValue="1982" maxValue="132947"/>
    </cacheField>
    <cacheField name="AUR RNA ID" numFmtId="0">
      <sharedItems containsMixedTypes="1" containsNumber="1" containsInteger="1" minValue="555" maxValue="3742"/>
    </cacheField>
    <cacheField name="Aurora Area" numFmtId="0">
      <sharedItems containsString="0" containsBlank="1" containsNumber="1" containsInteger="1" minValue="8" maxValue="56"/>
    </cacheField>
    <cacheField name="ISO Project ID" numFmtId="0">
      <sharedItems containsNonDate="0" containsString="0" containsBlank="1"/>
    </cacheField>
    <cacheField name="SNL Unit Name" numFmtId="0">
      <sharedItems/>
    </cacheField>
    <cacheField name="Interconnected Utility Company" numFmtId="0">
      <sharedItems containsNonDate="0" containsString="0" containsBlank="1"/>
    </cacheField>
    <cacheField name="Power Control Area" numFmtId="0">
      <sharedItems/>
    </cacheField>
    <cacheField name="Fuel Type" numFmtId="0">
      <sharedItems/>
    </cacheField>
    <cacheField name="County" numFmtId="0">
      <sharedItems containsBlank="1"/>
    </cacheField>
    <cacheField name="State" numFmtId="0">
      <sharedItems containsBlank="1"/>
    </cacheField>
    <cacheField name="Dispatching ISO" numFmtId="0">
      <sharedItems containsBlank="1"/>
    </cacheField>
    <cacheField name="Unit Nameplate Capacity" numFmtId="0">
      <sharedItems containsSemiMixedTypes="0" containsString="0" containsNumber="1" containsInteger="1" minValue="5" maxValue="1350"/>
    </cacheField>
    <cacheField name="Scenario Operating Status" numFmtId="0">
      <sharedItems/>
    </cacheField>
    <cacheField name="Operating Status Comments" numFmtId="0">
      <sharedItems containsBlank="1"/>
    </cacheField>
    <cacheField name="Scenario In Service Date" numFmtId="14">
      <sharedItems containsSemiMixedTypes="0" containsNonDate="0" containsDate="1" containsString="0" minDate="1977-09-01T00:00:00" maxDate="2048-06-02T00:00:00" count="31">
        <d v="2042-06-01T00:00:00"/>
        <d v="2041-06-01T00:00:00"/>
        <d v="2040-06-01T00:00:00"/>
        <d v="2039-06-01T00:00:00"/>
        <d v="2038-06-01T00:00:00"/>
        <d v="2048-06-01T00:00:00"/>
        <d v="2035-06-01T00:00:00"/>
        <d v="2046-06-01T00:00:00"/>
        <d v="2044-06-01T00:00:00"/>
        <d v="2045-06-01T00:00:00"/>
        <d v="2043-06-01T00:00:00"/>
        <d v="1990-10-01T00:00:00"/>
        <d v="1992-08-01T00:00:00"/>
        <d v="1993-06-14T00:00:00"/>
        <d v="1984-07-26T00:00:00"/>
        <d v="1983-03-05T00:00:00"/>
        <d v="1985-03-01T00:00:00"/>
        <d v="1986-04-01T00:00:00"/>
        <d v="1979-01-18T00:00:00"/>
        <d v="1977-09-01T00:00:00"/>
        <d v="1978-02-04T00:00:00"/>
        <d v="1983-02-01T00:00:00"/>
        <d v="1986-02-01T00:00:00"/>
        <d v="1984-02-01T00:00:00"/>
        <d v="1985-01-01T00:00:00"/>
        <d v="1983-05-01T00:00:00"/>
        <d v="2033-06-01T00:00:00"/>
        <d v="2030-01-01T00:00:00"/>
        <d v="2030-06-01T00:00:00"/>
        <d v="2036-12-31T00:00:00"/>
        <d v="2028-06-01T00:00:00"/>
      </sharedItems>
      <fieldGroup par="32"/>
    </cacheField>
    <cacheField name="In Service Date Source" numFmtId="0">
      <sharedItems containsBlank="1"/>
    </cacheField>
    <cacheField name="In Service Date Comments" numFmtId="0">
      <sharedItems containsBlank="1"/>
    </cacheField>
    <cacheField name="SNL Operating Status" numFmtId="0">
      <sharedItems/>
    </cacheField>
    <cacheField name="SNL In Service Date" numFmtId="0">
      <sharedItems containsNonDate="0" containsDate="1" containsString="0" containsBlank="1" minDate="1977-09-01T00:00:00" maxDate="2048-06-02T00:00:00"/>
    </cacheField>
    <cacheField name="Turbine Type" numFmtId="0">
      <sharedItems containsNonDate="0" containsString="0" containsBlank="1"/>
    </cacheField>
    <cacheField name="Turbine Manufacturer" numFmtId="0">
      <sharedItems containsNonDate="0" containsString="0" containsBlank="1"/>
    </cacheField>
    <cacheField name="Manufacturer" numFmtId="0">
      <sharedItems containsBlank="1"/>
    </cacheField>
    <cacheField name="Technology Type" numFmtId="0">
      <sharedItems/>
    </cacheField>
    <cacheField name="Generation Technology" numFmtId="0">
      <sharedItems/>
    </cacheField>
    <cacheField name="Technology Detail" numFmtId="0">
      <sharedItems containsBlank="1"/>
    </cacheField>
    <cacheField name="Include In Scenario Comments" numFmtId="0">
      <sharedItems containsBlank="1"/>
    </cacheField>
    <cacheField name="Retirement Date Comments" numFmtId="0">
      <sharedItems containsBlank="1"/>
    </cacheField>
    <cacheField name="Longitude" numFmtId="0">
      <sharedItems containsString="0" containsBlank="1" containsNumber="1" minValue="-117.24906" maxValue="-66.454490000000007"/>
    </cacheField>
    <cacheField name="Latitude" numFmtId="0">
      <sharedItems containsString="0" containsBlank="1" containsNumber="1" minValue="42.811590000000002" maxValue="56.459330000000001"/>
    </cacheField>
    <cacheField name="Months (Scenario In Service Date)" numFmtId="0" databaseField="0">
      <fieldGroup base="15">
        <rangePr groupBy="months" startDate="1977-09-01T00:00:00" endDate="2048-06-02T00:00:00"/>
        <groupItems count="14">
          <s v="&lt;9/1/197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48"/>
        </groupItems>
      </fieldGroup>
    </cacheField>
    <cacheField name="Quarters (Scenario In Service Date)" numFmtId="0" databaseField="0">
      <fieldGroup base="15">
        <rangePr groupBy="quarters" startDate="1977-09-01T00:00:00" endDate="2048-06-02T00:00:00"/>
        <groupItems count="6">
          <s v="&lt;9/1/1977"/>
          <s v="Qtr1"/>
          <s v="Qtr2"/>
          <s v="Qtr3"/>
          <s v="Qtr4"/>
          <s v="&gt;6/2/2048"/>
        </groupItems>
      </fieldGroup>
    </cacheField>
    <cacheField name="Years (Scenario In Service Date)" numFmtId="0" databaseField="0">
      <fieldGroup base="15">
        <rangePr groupBy="years" startDate="1977-09-01T00:00:00" endDate="2048-06-02T00:00:00"/>
        <groupItems count="74">
          <s v="&lt;9/1/1977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&gt;6/2/204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denmalm, David" refreshedDate="46153.641066898148" createdVersion="8" refreshedVersion="8" minRefreshableVersion="3" recordCount="17" xr:uid="{B73E6B88-47ED-4B84-A75D-9EB4DBF837D1}">
  <cacheSource type="worksheet">
    <worksheetSource ref="A1:W18" sheet="IRP &amp; RFP"/>
  </cacheSource>
  <cacheFields count="26">
    <cacheField name="Unit Name" numFmtId="0">
      <sharedItems/>
    </cacheField>
    <cacheField name="Aur Rna Id" numFmtId="0">
      <sharedItems/>
    </cacheField>
    <cacheField name="Unit Key" numFmtId="0">
      <sharedItems/>
    </cacheField>
    <cacheField name="Unit Type" numFmtId="0">
      <sharedItems/>
    </cacheField>
    <cacheField name="Status" numFmtId="0">
      <sharedItems/>
    </cacheField>
    <cacheField name="Resources" numFmtId="0">
      <sharedItems/>
    </cacheField>
    <cacheField name="Year" numFmtId="0">
      <sharedItems containsSemiMixedTypes="0" containsString="0" containsNumber="1" containsInteger="1" minValue="2037" maxValue="2047" count="11">
        <n v="2037"/>
        <n v="2038"/>
        <n v="2039"/>
        <n v="2040"/>
        <n v="2041"/>
        <n v="2042"/>
        <n v="2043"/>
        <n v="2044"/>
        <n v="2045"/>
        <n v="2046"/>
        <n v="2047"/>
      </sharedItems>
    </cacheField>
    <cacheField name="State/Province" numFmtId="0">
      <sharedItems/>
    </cacheField>
    <cacheField name="County/Parrish" numFmtId="0">
      <sharedItems containsBlank="1"/>
    </cacheField>
    <cacheField name="Area" numFmtId="0">
      <sharedItems/>
    </cacheField>
    <cacheField name="Primary Fuel Group" numFmtId="0">
      <sharedItems/>
    </cacheField>
    <cacheField name="Interconnected Utility Company" numFmtId="0">
      <sharedItems containsNonDate="0" containsString="0" containsBlank="1"/>
    </cacheField>
    <cacheField name="Current Operating Capacity" numFmtId="0">
      <sharedItems containsSemiMixedTypes="0" containsString="0" containsNumber="1" containsInteger="1" minValue="300" maxValue="1100"/>
    </cacheField>
    <cacheField name="Scenario In Service Date" numFmtId="14">
      <sharedItems containsSemiMixedTypes="0" containsNonDate="0" containsDate="1" containsString="0" minDate="2037-06-01T00:00:00" maxDate="2047-06-02T00:00:00" count="11">
        <d v="2037-06-01T00:00:00"/>
        <d v="2038-06-01T00:00:00"/>
        <d v="2039-06-01T00:00:00"/>
        <d v="2040-06-01T00:00:00"/>
        <d v="2041-06-01T00:00:00"/>
        <d v="2042-06-01T00:00:00"/>
        <d v="2043-06-01T00:00:00"/>
        <d v="2044-06-01T00:00:00"/>
        <d v="2045-06-01T00:00:00"/>
        <d v="2046-06-01T00:00:00"/>
        <d v="2047-06-01T00:00:00"/>
      </sharedItems>
      <fieldGroup par="25"/>
    </cacheField>
    <cacheField name="Generation Technology" numFmtId="0">
      <sharedItems/>
    </cacheField>
    <cacheField name="Zip Code" numFmtId="0">
      <sharedItems containsNonDate="0" containsString="0" containsBlank="1"/>
    </cacheField>
    <cacheField name="Comments" numFmtId="0">
      <sharedItems/>
    </cacheField>
    <cacheField name="Created By" numFmtId="0">
      <sharedItems/>
    </cacheField>
    <cacheField name="Created User" numFmtId="0">
      <sharedItems/>
    </cacheField>
    <cacheField name="Created Date" numFmtId="14">
      <sharedItems containsSemiMixedTypes="0" containsNonDate="0" containsDate="1" containsString="0" minDate="2024-12-13T00:00:00" maxDate="2025-08-13T00:00:00"/>
    </cacheField>
    <cacheField name="Updated By" numFmtId="0">
      <sharedItems/>
    </cacheField>
    <cacheField name="Updated User" numFmtId="0">
      <sharedItems/>
    </cacheField>
    <cacheField name="Updated Date" numFmtId="14">
      <sharedItems containsSemiMixedTypes="0" containsNonDate="0" containsDate="1" containsString="0" minDate="2024-12-13T00:00:00" maxDate="2025-11-11T00:00:00"/>
    </cacheField>
    <cacheField name="Months (Scenario In Service Date)" numFmtId="0" databaseField="0">
      <fieldGroup base="13">
        <rangePr groupBy="months" startDate="2037-06-01T00:00:00" endDate="2047-06-02T00:00:00"/>
        <groupItems count="14">
          <s v="&lt;6/1/203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47"/>
        </groupItems>
      </fieldGroup>
    </cacheField>
    <cacheField name="Quarters (Scenario In Service Date)" numFmtId="0" databaseField="0">
      <fieldGroup base="13">
        <rangePr groupBy="quarters" startDate="2037-06-01T00:00:00" endDate="2047-06-02T00:00:00"/>
        <groupItems count="6">
          <s v="&lt;6/1/2037"/>
          <s v="Qtr1"/>
          <s v="Qtr2"/>
          <s v="Qtr3"/>
          <s v="Qtr4"/>
          <s v="&gt;6/2/2047"/>
        </groupItems>
      </fieldGroup>
    </cacheField>
    <cacheField name="Years (Scenario In Service Date)" numFmtId="0" databaseField="0">
      <fieldGroup base="13">
        <rangePr groupBy="years" startDate="2037-06-01T00:00:00" endDate="2047-06-02T00:00:00"/>
        <groupItems count="13">
          <s v="&lt;6/1/2037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&gt;6/2/204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denmalm, David" refreshedDate="46153.654128240742" createdVersion="8" refreshedVersion="8" minRefreshableVersion="3" recordCount="8" xr:uid="{F7B99E69-4F7F-4D5D-85D7-1A6512775CF6}">
  <cacheSource type="worksheet">
    <worksheetSource ref="A1:R9" sheet="Uprates"/>
  </cacheSource>
  <cacheFields count="21">
    <cacheField name="Power Plant Unit Key" numFmtId="0">
      <sharedItems containsSemiMixedTypes="0" containsString="0" containsNumber="1" containsInteger="1" minValue="22334" maxValue="28830"/>
    </cacheField>
    <cacheField name="Power Plant Key" numFmtId="0">
      <sharedItems containsSemiMixedTypes="0" containsString="0" containsNumber="1" containsInteger="1" minValue="1982" maxValue="1983"/>
    </cacheField>
    <cacheField name="Plant Name" numFmtId="0">
      <sharedItems/>
    </cacheField>
    <cacheField name="Unit Name" numFmtId="0">
      <sharedItems/>
    </cacheField>
    <cacheField name="Fuel Type" numFmtId="0">
      <sharedItems/>
    </cacheField>
    <cacheField name="Nameplate  Capacity Mw" numFmtId="0">
      <sharedItems containsSemiMixedTypes="0" containsString="0" containsNumber="1" containsInteger="1" minValue="805" maxValue="870"/>
    </cacheField>
    <cacheField name="Summer Value" numFmtId="0">
      <sharedItems/>
    </cacheField>
    <cacheField name="Winter Value" numFmtId="0">
      <sharedItems containsSemiMixedTypes="0" containsString="0" containsNumber="1" containsInteger="1" minValue="75" maxValue="75"/>
    </cacheField>
    <cacheField name="Calculated Uprate Value" numFmtId="0">
      <sharedItems containsSemiMixedTypes="0" containsString="0" containsNumber="1" containsInteger="1" minValue="880" maxValue="945"/>
    </cacheField>
    <cacheField name="Upgrade Source" numFmtId="0">
      <sharedItems/>
    </cacheField>
    <cacheField name="Upgrade Type" numFmtId="0">
      <sharedItems/>
    </cacheField>
    <cacheField name="Upgrade Date" numFmtId="14">
      <sharedItems containsSemiMixedTypes="0" containsNonDate="0" containsDate="1" containsString="0" minDate="2030-06-01T00:00:00" maxDate="2060-06-02T00:00:00" count="2">
        <d v="2030-06-01T00:00:00"/>
        <d v="2060-06-01T00:00:00"/>
      </sharedItems>
      <fieldGroup par="20"/>
    </cacheField>
    <cacheField name="Status" numFmtId="0">
      <sharedItems/>
    </cacheField>
    <cacheField name="Upgrade Comments" numFmtId="0">
      <sharedItems/>
    </cacheField>
    <cacheField name="Created Date" numFmtId="14">
      <sharedItems containsSemiMixedTypes="0" containsNonDate="0" containsDate="1" containsString="0" minDate="2025-05-02T00:00:00" maxDate="2025-05-03T00:00:00"/>
    </cacheField>
    <cacheField name="Created User" numFmtId="0">
      <sharedItems/>
    </cacheField>
    <cacheField name="Updated Date" numFmtId="14">
      <sharedItems containsSemiMixedTypes="0" containsNonDate="0" containsDate="1" containsString="0" minDate="2025-10-09T00:00:00" maxDate="2025-10-10T00:00:00"/>
    </cacheField>
    <cacheField name="Updated User" numFmtId="0">
      <sharedItems/>
    </cacheField>
    <cacheField name="Months (Upgrade Date)" numFmtId="0" databaseField="0">
      <fieldGroup base="11">
        <rangePr groupBy="months" startDate="2030-06-01T00:00:00" endDate="2060-06-02T00:00:00"/>
        <groupItems count="14">
          <s v="&lt;6/1/203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60"/>
        </groupItems>
      </fieldGroup>
    </cacheField>
    <cacheField name="Quarters (Upgrade Date)" numFmtId="0" databaseField="0">
      <fieldGroup base="11">
        <rangePr groupBy="quarters" startDate="2030-06-01T00:00:00" endDate="2060-06-02T00:00:00"/>
        <groupItems count="6">
          <s v="&lt;6/1/2030"/>
          <s v="Qtr1"/>
          <s v="Qtr2"/>
          <s v="Qtr3"/>
          <s v="Qtr4"/>
          <s v="&gt;6/2/2060"/>
        </groupItems>
      </fieldGroup>
    </cacheField>
    <cacheField name="Years (Upgrade Date)" numFmtId="0" databaseField="0">
      <fieldGroup base="11">
        <rangePr groupBy="years" startDate="2030-06-01T00:00:00" endDate="2060-06-02T00:00:00"/>
        <groupItems count="33">
          <s v="&lt;6/1/2030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&gt;6/2/20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7151"/>
    <n v="11561"/>
    <s v="NR_SNL27151"/>
    <n v="36"/>
    <m/>
    <s v="Nanticoke CDU 2"/>
    <m/>
    <s v="Independent Electricity System Operator"/>
    <s v="Nuclear"/>
    <s v="Haldimand"/>
    <s v="ON"/>
    <s v="Ontario"/>
    <n v="1350"/>
    <s v="Announced"/>
    <s v="Per New Units File and OPG Energy Plan"/>
    <x v="0"/>
    <s v="Sales"/>
    <s v="Per New Units File provided by Robert - 8.12.2025"/>
    <s v="Terminated"/>
    <m/>
    <m/>
    <m/>
    <m/>
    <s v="Nuclear"/>
    <s v="Nuclear"/>
    <s v="CANDU"/>
    <s v="Per New Units File"/>
    <m/>
    <n v="-80.037779999999998"/>
    <n v="42.811590000000002"/>
  </r>
  <r>
    <n v="26429"/>
    <n v="11561"/>
    <s v="NR_SNL26429"/>
    <n v="36"/>
    <m/>
    <s v="Nanticoke CDU 1"/>
    <m/>
    <s v="Independent Electricity System Operator"/>
    <s v="Nuclear"/>
    <s v="Haldimand"/>
    <s v="ON"/>
    <s v="Ontario"/>
    <n v="1350"/>
    <s v="Announced"/>
    <s v="Per New Units File and OPG Energy Plan"/>
    <x v="1"/>
    <s v="Sales"/>
    <s v="Per New Units File provided by Robert - 8.12.2025"/>
    <s v="Terminated"/>
    <m/>
    <m/>
    <m/>
    <m/>
    <s v="Nuclear"/>
    <s v="Nuclear"/>
    <s v="CANDU"/>
    <s v="Per New Units File"/>
    <m/>
    <n v="-80.037779999999998"/>
    <n v="42.811590000000002"/>
  </r>
  <r>
    <n v="27305"/>
    <n v="12447"/>
    <s v="NR_SNL27305"/>
    <n v="8"/>
    <m/>
    <s v="Bruce CDU 4"/>
    <m/>
    <s v="Independent Electricity System Operator"/>
    <s v="Nuclear"/>
    <s v="Kincardine"/>
    <s v="ON"/>
    <s v="Ontario"/>
    <n v="1200"/>
    <s v="Early Development"/>
    <m/>
    <x v="1"/>
    <s v="State/Local Document"/>
    <s v="Per OPGs Energy Plan - 8.12.2025"/>
    <s v="Early Development"/>
    <d v="2041-06-01T00:00:00"/>
    <m/>
    <m/>
    <m/>
    <s v="Nuclear"/>
    <s v="Nuclear"/>
    <s v="CANDU"/>
    <s v="Units called out in OPGs plan for new large scale nuclear"/>
    <m/>
    <n v="-81.575040000000001"/>
    <n v="44.340260000000001"/>
  </r>
  <r>
    <n v="27304"/>
    <n v="12447"/>
    <s v="NR_SNL27304"/>
    <n v="8"/>
    <m/>
    <s v="Bruce CDU 3"/>
    <m/>
    <s v="Independent Electricity System Operator"/>
    <s v="Nuclear"/>
    <s v="Kincardine"/>
    <s v="ON"/>
    <s v="Ontario"/>
    <n v="1200"/>
    <s v="Early Development"/>
    <m/>
    <x v="2"/>
    <s v="State/Local Document"/>
    <s v="Per OPGs Energy Plan - 8.12.2025"/>
    <s v="Early Development"/>
    <d v="2040-06-01T00:00:00"/>
    <m/>
    <m/>
    <m/>
    <s v="Nuclear"/>
    <s v="Nuclear"/>
    <s v="CANDU"/>
    <s v="Units called out in OPGs plan for new large scale nuclear"/>
    <m/>
    <n v="-81.575040000000001"/>
    <n v="44.340260000000001"/>
  </r>
  <r>
    <n v="27303"/>
    <n v="12447"/>
    <s v="NR_SNL27303"/>
    <n v="8"/>
    <m/>
    <s v="Bruce CDU 2"/>
    <m/>
    <s v="Independent Electricity System Operator"/>
    <s v="Nuclear"/>
    <s v="Kincardine"/>
    <s v="ON"/>
    <s v="Ontario"/>
    <n v="1200"/>
    <s v="Early Development"/>
    <m/>
    <x v="3"/>
    <s v="State/Local Document"/>
    <s v="Per OPGs Energy Plan - 8.12.2025"/>
    <s v="Early Development"/>
    <d v="2039-06-01T00:00:00"/>
    <m/>
    <m/>
    <m/>
    <s v="Nuclear"/>
    <s v="Nuclear"/>
    <s v="CANDU"/>
    <s v="Units called out in OPGs plan for new large scale nuclear"/>
    <m/>
    <n v="-81.575040000000001"/>
    <n v="44.340260000000001"/>
  </r>
  <r>
    <n v="27302"/>
    <n v="12447"/>
    <s v="NR_SNL27302"/>
    <n v="8"/>
    <m/>
    <s v="Bruce CDU 1"/>
    <m/>
    <s v="Independent Electricity System Operator"/>
    <s v="Nuclear"/>
    <s v="Kincardine"/>
    <s v="ON"/>
    <s v="Ontario"/>
    <n v="1200"/>
    <s v="Early Development"/>
    <m/>
    <x v="4"/>
    <s v="State/Local Document"/>
    <s v="Per OPGs Energy Plan - 8.12.2025"/>
    <s v="Early Development"/>
    <d v="2038-06-01T00:00:00"/>
    <m/>
    <m/>
    <m/>
    <s v="Nuclear"/>
    <s v="Nuclear"/>
    <s v="CANDU"/>
    <s v="Units called out in OPGs plan for new large scale nuclear"/>
    <m/>
    <n v="-81.575040000000001"/>
    <n v="44.340260000000001"/>
  </r>
  <r>
    <n v="244456"/>
    <n v="129384"/>
    <s v="NR_SNL244456"/>
    <n v="16"/>
    <m/>
    <s v="Wesleyville CDU 8"/>
    <m/>
    <s v="Independent Electricity System Operator"/>
    <s v="Nuclear"/>
    <s v="Port Hope"/>
    <s v="ON"/>
    <m/>
    <n v="1100"/>
    <s v="Announced"/>
    <m/>
    <x v="5"/>
    <s v="SNL"/>
    <s v="Monthly SNL Updates"/>
    <s v="Announced"/>
    <d v="2048-06-01T00:00:00"/>
    <m/>
    <m/>
    <m/>
    <s v="Nuclear"/>
    <s v="Nuclear"/>
    <s v="CANDU"/>
    <s v="SNL New Unit"/>
    <m/>
    <n v="-78.396709999999999"/>
    <n v="43.922449999999998"/>
  </r>
  <r>
    <n v="243309"/>
    <n v="132947"/>
    <s v="NR_SNL243309"/>
    <n v="56"/>
    <m/>
    <s v="Peace River Nuclear CDU 2"/>
    <m/>
    <s v="Alberta Electric System Operator"/>
    <s v="Nuclear"/>
    <s v="Northern Lights County"/>
    <s v="AB"/>
    <m/>
    <n v="1100"/>
    <s v="Early Development"/>
    <m/>
    <x v="6"/>
    <m/>
    <m/>
    <s v="Early Development"/>
    <d v="2035-06-01T00:00:00"/>
    <m/>
    <m/>
    <m/>
    <s v="Nuclear"/>
    <s v="Nuclear"/>
    <s v="CANDU"/>
    <s v="SNL New Unit"/>
    <m/>
    <n v="-117.24906"/>
    <n v="56.459330000000001"/>
  </r>
  <r>
    <n v="243310"/>
    <n v="132947"/>
    <s v="NR_SNL243310"/>
    <n v="56"/>
    <m/>
    <s v="Peace River Nuclear CDU 3"/>
    <m/>
    <s v="Alberta Electric System Operator"/>
    <s v="Nuclear"/>
    <s v="Northern Lights County"/>
    <s v="AB"/>
    <m/>
    <n v="1100"/>
    <s v="Early Development"/>
    <m/>
    <x v="4"/>
    <m/>
    <m/>
    <s v="Early Development"/>
    <d v="2038-06-01T00:00:00"/>
    <m/>
    <m/>
    <m/>
    <s v="Nuclear"/>
    <s v="Nuclear"/>
    <s v="CANDU"/>
    <s v="SNL New Unit"/>
    <m/>
    <n v="-117.24906"/>
    <n v="56.459330000000001"/>
  </r>
  <r>
    <n v="243273"/>
    <n v="132947"/>
    <s v="NR_SNL243273"/>
    <n v="56"/>
    <m/>
    <s v="Peace River Nuclear CDU 1"/>
    <m/>
    <s v="Alberta Electric System Operator"/>
    <s v="Nuclear"/>
    <s v="Northern Lights County"/>
    <s v="AB"/>
    <m/>
    <n v="1100"/>
    <s v="Early Development"/>
    <m/>
    <x v="6"/>
    <s v="SNL"/>
    <s v="Monthly SNL Updates"/>
    <s v="Early Development"/>
    <d v="2035-06-01T00:00:00"/>
    <m/>
    <m/>
    <m/>
    <s v="Nuclear"/>
    <s v="Nuclear"/>
    <s v="CANDU"/>
    <s v="SNL New Unit"/>
    <m/>
    <n v="-117.24906"/>
    <n v="56.459330000000001"/>
  </r>
  <r>
    <n v="244455"/>
    <n v="129384"/>
    <s v="NR_SNL244455"/>
    <n v="16"/>
    <m/>
    <s v="Wesleyville CDU 7"/>
    <m/>
    <s v="Independent Electricity System Operator"/>
    <s v="Nuclear"/>
    <s v="Port Hope"/>
    <s v="ON"/>
    <m/>
    <n v="1100"/>
    <s v="Announced"/>
    <m/>
    <x v="7"/>
    <m/>
    <m/>
    <s v="Announced"/>
    <d v="2046-06-01T00:00:00"/>
    <m/>
    <m/>
    <m/>
    <s v="Nuclear"/>
    <s v="Nuclear"/>
    <s v="CANDU"/>
    <s v="SNL New Unit"/>
    <m/>
    <n v="-78.396709999999999"/>
    <n v="43.922449999999998"/>
  </r>
  <r>
    <n v="244442"/>
    <n v="129384"/>
    <s v="NR_SNL244442"/>
    <n v="16"/>
    <m/>
    <s v="Wesleyville CDU 5"/>
    <m/>
    <s v="Independent Electricity System Operator"/>
    <s v="Nuclear"/>
    <s v="Port Hope"/>
    <s v="ON"/>
    <m/>
    <n v="1100"/>
    <s v="Announced"/>
    <m/>
    <x v="8"/>
    <m/>
    <m/>
    <s v="Announced"/>
    <d v="2044-06-01T00:00:00"/>
    <m/>
    <m/>
    <m/>
    <s v="Nuclear"/>
    <s v="Nuclear"/>
    <s v="CANDU"/>
    <s v="SNL New Unit"/>
    <m/>
    <n v="-78.396709999999999"/>
    <n v="43.922449999999998"/>
  </r>
  <r>
    <n v="243311"/>
    <n v="132947"/>
    <s v="NR_SNL243311"/>
    <n v="56"/>
    <m/>
    <s v="Peace River Nuclear CDU 4"/>
    <m/>
    <s v="Alberta Electric System Operator"/>
    <s v="Nuclear"/>
    <s v="Northern Lights County"/>
    <s v="AB"/>
    <m/>
    <n v="1100"/>
    <s v="Early Development"/>
    <m/>
    <x v="2"/>
    <m/>
    <m/>
    <s v="Early Development"/>
    <d v="2040-06-01T00:00:00"/>
    <m/>
    <m/>
    <m/>
    <s v="Nuclear"/>
    <s v="Nuclear"/>
    <s v="CANDU"/>
    <s v="SNL New Unit"/>
    <m/>
    <n v="-117.24906"/>
    <n v="56.459330000000001"/>
  </r>
  <r>
    <n v="244454"/>
    <n v="129384"/>
    <s v="NR_SNL244454"/>
    <n v="16"/>
    <m/>
    <s v="Wesleyville CDU 6"/>
    <m/>
    <s v="Independent Electricity System Operator"/>
    <s v="Nuclear"/>
    <s v="Port Hope"/>
    <s v="ON"/>
    <m/>
    <n v="1100"/>
    <s v="Announced"/>
    <m/>
    <x v="9"/>
    <m/>
    <m/>
    <s v="Announced"/>
    <d v="2045-06-01T00:00:00"/>
    <m/>
    <m/>
    <m/>
    <s v="Nuclear"/>
    <s v="Nuclear"/>
    <s v="CANDU"/>
    <s v="SNL New Unit"/>
    <m/>
    <n v="-78.396709999999999"/>
    <n v="43.922449999999998"/>
  </r>
  <r>
    <n v="239336"/>
    <n v="129384"/>
    <s v="NR_SNL239336"/>
    <n v="16"/>
    <m/>
    <s v="Wesleyville CDU 1"/>
    <m/>
    <s v="Independent Electricity System Operator"/>
    <s v="Nuclear"/>
    <s v="Port Hope"/>
    <s v="ON"/>
    <m/>
    <n v="940"/>
    <s v="Announced"/>
    <m/>
    <x v="2"/>
    <m/>
    <m/>
    <s v="Announced"/>
    <d v="2040-06-01T00:00:00"/>
    <m/>
    <m/>
    <m/>
    <s v="Nuclear"/>
    <s v="Nuclear"/>
    <s v="CANDU"/>
    <m/>
    <m/>
    <n v="-78.396709999999999"/>
    <n v="43.922449999999998"/>
  </r>
  <r>
    <n v="244440"/>
    <n v="129384"/>
    <s v="NR_SNL244440"/>
    <n v="16"/>
    <m/>
    <s v="Wesleyville CDU 3"/>
    <m/>
    <s v="Independent Electricity System Operator"/>
    <s v="Nuclear"/>
    <s v="Port Hope"/>
    <s v="ON"/>
    <m/>
    <n v="940"/>
    <s v="Announced"/>
    <m/>
    <x v="0"/>
    <m/>
    <m/>
    <s v="Announced"/>
    <d v="2042-06-01T00:00:00"/>
    <m/>
    <m/>
    <m/>
    <s v="Nuclear"/>
    <s v="Nuclear"/>
    <s v="CANDU"/>
    <s v="SNL New Unit"/>
    <m/>
    <n v="-78.396709999999999"/>
    <n v="43.922449999999998"/>
  </r>
  <r>
    <n v="244439"/>
    <n v="129384"/>
    <s v="NR_SNL244439"/>
    <n v="16"/>
    <m/>
    <s v="Wesleyville CDU 2"/>
    <m/>
    <s v="Independent Electricity System Operator"/>
    <s v="Nuclear"/>
    <s v="Port Hope"/>
    <s v="ON"/>
    <m/>
    <n v="940"/>
    <s v="Announced"/>
    <m/>
    <x v="1"/>
    <m/>
    <m/>
    <s v="Announced"/>
    <d v="2041-06-01T00:00:00"/>
    <m/>
    <m/>
    <m/>
    <s v="Nuclear"/>
    <s v="Nuclear"/>
    <s v="CANDU"/>
    <s v="SNL New Unit"/>
    <m/>
    <n v="-78.396709999999999"/>
    <n v="43.922449999999998"/>
  </r>
  <r>
    <n v="244441"/>
    <n v="129384"/>
    <s v="NR_SNL244441"/>
    <n v="16"/>
    <m/>
    <s v="Wesleyville CDU 4"/>
    <m/>
    <s v="Independent Electricity System Operator"/>
    <s v="Nuclear"/>
    <s v="Port Hope"/>
    <s v="ON"/>
    <m/>
    <n v="940"/>
    <s v="Announced"/>
    <m/>
    <x v="10"/>
    <m/>
    <m/>
    <s v="Announced"/>
    <d v="2043-06-01T00:00:00"/>
    <m/>
    <m/>
    <m/>
    <s v="Nuclear"/>
    <s v="Nuclear"/>
    <s v="CANDU"/>
    <s v="SNL New Unit"/>
    <m/>
    <n v="-78.396709999999999"/>
    <n v="43.922449999999998"/>
  </r>
  <r>
    <n v="18973"/>
    <n v="2658"/>
    <n v="1158"/>
    <n v="36"/>
    <m/>
    <s v="Darlington CDU 2"/>
    <m/>
    <s v="Independent Electricity System Operator"/>
    <s v="Nuclear"/>
    <s v="Clarington"/>
    <s v="ON"/>
    <s v="Ontario"/>
    <n v="934"/>
    <s v="Operating"/>
    <m/>
    <x v="11"/>
    <m/>
    <m/>
    <s v="Operating"/>
    <d v="1990-10-01T00:00:00"/>
    <m/>
    <m/>
    <s v="BBC"/>
    <s v="Nuclear"/>
    <s v="Nuclear"/>
    <s v="CANDU"/>
    <m/>
    <s v="Based on Renewal Extension"/>
    <n v="-78.724549999999994"/>
    <n v="43.869790000000002"/>
  </r>
  <r>
    <n v="18972"/>
    <n v="2658"/>
    <n v="1157"/>
    <n v="36"/>
    <m/>
    <s v="Darlington CDU 1"/>
    <m/>
    <s v="Independent Electricity System Operator"/>
    <s v="Nuclear"/>
    <s v="Clarington"/>
    <s v="ON"/>
    <s v="Ontario"/>
    <n v="934"/>
    <s v="Operating"/>
    <s v="Monthly SNL Updates"/>
    <x v="12"/>
    <m/>
    <m/>
    <s v="Operating"/>
    <d v="1992-11-01T00:00:00"/>
    <m/>
    <m/>
    <s v="ABB"/>
    <s v="Nuclear"/>
    <s v="Nuclear"/>
    <s v="CANDU"/>
    <m/>
    <s v="Updated retirement date per request from S.S. 02262020"/>
    <n v="-78.724549999999994"/>
    <n v="43.869790000000002"/>
  </r>
  <r>
    <n v="18974"/>
    <n v="2658"/>
    <n v="1159"/>
    <n v="36"/>
    <m/>
    <s v="Darlington CDU 3"/>
    <m/>
    <s v="Independent Electricity System Operator"/>
    <s v="Nuclear"/>
    <s v="Clarington"/>
    <s v="ON"/>
    <s v="Ontario"/>
    <n v="934"/>
    <s v="Operating"/>
    <m/>
    <x v="12"/>
    <m/>
    <m/>
    <s v="Operating"/>
    <d v="1993-02-01T00:00:00"/>
    <m/>
    <m/>
    <s v="BBC"/>
    <s v="Nuclear"/>
    <s v="Nuclear"/>
    <s v="CANDU"/>
    <s v="Updating INCL_IN_SCN=Y to pass historical retirement date - 02032021"/>
    <s v="Based on Renewal Extension"/>
    <n v="-78.724549999999994"/>
    <n v="43.869790000000002"/>
  </r>
  <r>
    <n v="18975"/>
    <n v="2658"/>
    <n v="1160"/>
    <n v="36"/>
    <m/>
    <s v="Darlington CDU 4"/>
    <m/>
    <s v="Independent Electricity System Operator"/>
    <s v="Nuclear"/>
    <s v="Clarington"/>
    <s v="ON"/>
    <s v="Ontario"/>
    <n v="934"/>
    <s v="Operating"/>
    <s v="Monthly SNL Updates"/>
    <x v="13"/>
    <m/>
    <m/>
    <s v="Operating"/>
    <d v="1993-06-01T00:00:00"/>
    <m/>
    <m/>
    <s v="BBC"/>
    <s v="Nuclear"/>
    <s v="Nuclear"/>
    <s v="CANDU"/>
    <m/>
    <s v="Updated retirement date per request from S.S. 02262020"/>
    <n v="-78.724549999999994"/>
    <n v="43.869790000000002"/>
  </r>
  <r>
    <n v="28825"/>
    <n v="1983"/>
    <n v="560"/>
    <n v="8"/>
    <m/>
    <s v="Bruce CDU 6"/>
    <m/>
    <s v="Independent Electricity System Operator"/>
    <s v="Nuclear"/>
    <s v="Kincardine"/>
    <s v="ON"/>
    <s v="Ontario"/>
    <n v="870"/>
    <s v="Operating"/>
    <s v="Per SNL Article Bruce 6 has completed refurbishment of the unit on September 8th 2023"/>
    <x v="14"/>
    <m/>
    <m/>
    <s v="Operating"/>
    <d v="1984-09-01T00:00:00"/>
    <m/>
    <m/>
    <s v="GE"/>
    <s v="Nuclear"/>
    <s v="Nuclear"/>
    <s v="CANDU"/>
    <s v="Updating INCL IN SCN = Y to bring in retired unit to pass retirement date to Aurora"/>
    <s v="Updating Retirement date per email from S.S. on 02252020 @ 1932"/>
    <n v="-81.575040000000001"/>
    <n v="44.340260000000001"/>
  </r>
  <r>
    <n v="22335"/>
    <n v="1983"/>
    <n v="562"/>
    <n v="8"/>
    <m/>
    <s v="Bruce CDU 8"/>
    <m/>
    <s v="Independent Electricity System Operator"/>
    <s v="Nuclear"/>
    <s v="Kincardine"/>
    <s v="ON"/>
    <s v="Ontario"/>
    <n v="840"/>
    <s v="Operating"/>
    <m/>
    <x v="15"/>
    <m/>
    <m/>
    <s v="Operating"/>
    <d v="1987-05-01T00:00:00"/>
    <m/>
    <m/>
    <s v="GE"/>
    <s v="Nuclear"/>
    <s v="Nuclear"/>
    <s v="CANDU"/>
    <m/>
    <s v="Updating Retirement date per email from S.S. on 02252020 @ 1932"/>
    <n v="-81.575040000000001"/>
    <n v="44.340260000000001"/>
  </r>
  <r>
    <n v="28824"/>
    <n v="1983"/>
    <n v="559"/>
    <n v="8"/>
    <m/>
    <s v="Bruce CDU 5"/>
    <m/>
    <s v="Independent Electricity System Operator"/>
    <s v="Nuclear"/>
    <s v="Kincardine"/>
    <s v="ON"/>
    <s v="Ontario"/>
    <n v="840"/>
    <s v="Operating"/>
    <m/>
    <x v="16"/>
    <m/>
    <m/>
    <s v="Operating"/>
    <d v="1985-03-01T00:00:00"/>
    <m/>
    <m/>
    <m/>
    <s v="Nuclear"/>
    <s v="Nuclear"/>
    <s v="CANDU"/>
    <m/>
    <s v="Updating Retirement date per email from S.S. on 02252020 @ 1932"/>
    <n v="-81.575040000000001"/>
    <n v="44.340260000000001"/>
  </r>
  <r>
    <n v="28826"/>
    <n v="1983"/>
    <n v="561"/>
    <n v="8"/>
    <m/>
    <s v="Bruce CDU 7"/>
    <m/>
    <s v="Independent Electricity System Operator"/>
    <s v="Nuclear"/>
    <s v="Kincardine"/>
    <s v="ON"/>
    <s v="Ontario"/>
    <n v="840"/>
    <s v="Operating"/>
    <m/>
    <x v="17"/>
    <m/>
    <m/>
    <s v="Operating"/>
    <d v="1986-04-01T00:00:00"/>
    <m/>
    <m/>
    <s v="Allis Chalmers"/>
    <s v="Nuclear"/>
    <s v="Nuclear"/>
    <s v="CANDU"/>
    <m/>
    <s v="Updating Retirement date per email from S.S. on 02252020 @ 1932"/>
    <n v="-81.575040000000001"/>
    <n v="44.340260000000001"/>
  </r>
  <r>
    <n v="28830"/>
    <n v="1982"/>
    <n v="558"/>
    <n v="8"/>
    <m/>
    <s v="Bruce CDU 4"/>
    <m/>
    <s v="Independent Electricity System Operator"/>
    <s v="Nuclear"/>
    <s v="Kincardine"/>
    <s v="ON"/>
    <s v="Ontario"/>
    <n v="805"/>
    <s v="Out of Service"/>
    <m/>
    <x v="18"/>
    <m/>
    <m/>
    <s v="Out of Service"/>
    <d v="1979-01-01T00:00:00"/>
    <m/>
    <m/>
    <s v="Parsons"/>
    <s v="Nuclear"/>
    <s v="Nuclear"/>
    <s v="CANDU"/>
    <m/>
    <s v="Removing Accelerated Retirement Impact to Nuclear Units."/>
    <n v="-81.575040000000001"/>
    <n v="44.340260000000001"/>
  </r>
  <r>
    <n v="22334"/>
    <n v="1982"/>
    <n v="555"/>
    <n v="8"/>
    <m/>
    <s v="Bruce CDU 1"/>
    <m/>
    <s v="Independent Electricity System Operator"/>
    <s v="Nuclear"/>
    <s v="Kincardine"/>
    <s v="ON"/>
    <s v="Ontario"/>
    <n v="805"/>
    <s v="Operating"/>
    <m/>
    <x v="19"/>
    <m/>
    <m/>
    <s v="Operating"/>
    <d v="1977-09-01T00:00:00"/>
    <m/>
    <m/>
    <s v="Parsons"/>
    <s v="Nuclear"/>
    <s v="Nuclear"/>
    <s v="CANDU"/>
    <m/>
    <s v="Removing Accelerated Retirement Impact to Nuclear Units."/>
    <n v="-81.575040000000001"/>
    <n v="44.340260000000001"/>
  </r>
  <r>
    <n v="28829"/>
    <n v="1982"/>
    <n v="556"/>
    <n v="8"/>
    <m/>
    <s v="Bruce CDU 2"/>
    <m/>
    <s v="Independent Electricity System Operator"/>
    <s v="Nuclear"/>
    <s v="Kincardine"/>
    <s v="ON"/>
    <s v="Ontario"/>
    <n v="805"/>
    <s v="Operating"/>
    <m/>
    <x v="19"/>
    <m/>
    <m/>
    <s v="Operating"/>
    <d v="1977-09-01T00:00:00"/>
    <m/>
    <m/>
    <s v="Parsons"/>
    <s v="Nuclear"/>
    <s v="Nuclear"/>
    <s v="CANDU"/>
    <m/>
    <s v="Removing Accelerated Retirement Impact to Nuclear Units."/>
    <n v="-81.575040000000001"/>
    <n v="44.340260000000001"/>
  </r>
  <r>
    <n v="28828"/>
    <n v="1982"/>
    <n v="557"/>
    <n v="8"/>
    <m/>
    <s v="Bruce CDU 3"/>
    <m/>
    <s v="Independent Electricity System Operator"/>
    <s v="Nuclear"/>
    <s v="Kincardine"/>
    <s v="ON"/>
    <s v="Ontario"/>
    <n v="805"/>
    <s v="Out of Service"/>
    <m/>
    <x v="20"/>
    <m/>
    <m/>
    <s v="Out of Service"/>
    <d v="1978-02-01T00:00:00"/>
    <m/>
    <m/>
    <s v="Parsons"/>
    <s v="Nuclear"/>
    <s v="Nuclear"/>
    <s v="CANDU"/>
    <m/>
    <s v="Removing Accelerated Retirement Impact to Nuclear Units."/>
    <n v="-81.575040000000001"/>
    <n v="44.340260000000001"/>
  </r>
  <r>
    <n v="22480"/>
    <n v="5598"/>
    <n v="3742"/>
    <n v="27"/>
    <m/>
    <s v="Point Lepreau CDU 1"/>
    <m/>
    <s v="New Brunswick Power Corporation"/>
    <s v="Nuclear"/>
    <s v="Musquash"/>
    <s v="NB"/>
    <s v="New Brunswick"/>
    <n v="635"/>
    <s v="Operating"/>
    <s v="Monthly SNL Updates"/>
    <x v="21"/>
    <m/>
    <m/>
    <s v="Out of Service"/>
    <d v="1983-02-01T00:00:00"/>
    <m/>
    <m/>
    <s v="Parsons"/>
    <s v="Nuclear"/>
    <s v="Nuclear"/>
    <s v="CANDU"/>
    <m/>
    <s v="Per Salesperson Feedback email on 05.05.21 at 08:16"/>
    <n v="-66.45496"/>
    <n v="45.069290000000002"/>
  </r>
  <r>
    <n v="39209"/>
    <n v="5515"/>
    <n v="3689"/>
    <n v="35"/>
    <m/>
    <s v="Pickering CDU 8"/>
    <m/>
    <s v="Independent Electricity System Operator"/>
    <s v="Nuclear"/>
    <s v="Pickering"/>
    <s v="ON"/>
    <s v="Ontario"/>
    <n v="517"/>
    <s v="Operating"/>
    <m/>
    <x v="22"/>
    <m/>
    <m/>
    <s v="Operating"/>
    <d v="1986-02-01T00:00:00"/>
    <m/>
    <m/>
    <s v="Parsons"/>
    <s v="Nuclear"/>
    <s v="Nuclear"/>
    <s v="CANDU"/>
    <m/>
    <s v="The Units 5-8 will go through refurbishment in 2026-2032 and we expect an additional 30 years of service once complete - 2.1.2024"/>
    <n v="-79.063810000000004"/>
    <n v="43.80959"/>
  </r>
  <r>
    <n v="39207"/>
    <n v="5515"/>
    <n v="3687"/>
    <n v="35"/>
    <m/>
    <s v="Pickering CDU 6"/>
    <m/>
    <s v="Independent Electricity System Operator"/>
    <s v="Nuclear"/>
    <s v="Pickering"/>
    <s v="ON"/>
    <s v="Ontario"/>
    <n v="517"/>
    <s v="Operating"/>
    <m/>
    <x v="23"/>
    <m/>
    <m/>
    <s v="Operating"/>
    <d v="1984-02-01T00:00:00"/>
    <m/>
    <m/>
    <s v="Parsons"/>
    <s v="Nuclear"/>
    <s v="Nuclear"/>
    <s v="CANDU"/>
    <m/>
    <s v="The Units 5-8 will go through refurbishment in 2026-2032 and we expect an additional 30 years of service once complete - 2.1.2024"/>
    <n v="-79.063810000000004"/>
    <n v="43.80959"/>
  </r>
  <r>
    <n v="39208"/>
    <n v="5515"/>
    <n v="3688"/>
    <n v="35"/>
    <m/>
    <s v="Pickering CDU 7"/>
    <m/>
    <s v="Independent Electricity System Operator"/>
    <s v="Nuclear"/>
    <s v="Pickering"/>
    <s v="ON"/>
    <s v="Ontario"/>
    <n v="517"/>
    <s v="Operating"/>
    <m/>
    <x v="24"/>
    <m/>
    <m/>
    <s v="Operating"/>
    <d v="1985-01-01T00:00:00"/>
    <m/>
    <m/>
    <s v="Parsons"/>
    <s v="Nuclear"/>
    <s v="Nuclear"/>
    <s v="CANDU"/>
    <m/>
    <s v="The Units 5-8 will go through refurbishment in 2026-2032 and we expect an additional 30 years of service once complete - 2.1.2024"/>
    <n v="-79.063810000000004"/>
    <n v="43.80959"/>
  </r>
  <r>
    <n v="39206"/>
    <n v="5515"/>
    <n v="3686"/>
    <n v="35"/>
    <m/>
    <s v="Pickering CDU 5"/>
    <m/>
    <s v="Independent Electricity System Operator"/>
    <s v="Nuclear"/>
    <s v="Pickering"/>
    <s v="ON"/>
    <s v="Ontario"/>
    <n v="517"/>
    <s v="Operating"/>
    <m/>
    <x v="25"/>
    <m/>
    <m/>
    <s v="Operating"/>
    <d v="1983-05-01T00:00:00"/>
    <m/>
    <m/>
    <s v="Parsons"/>
    <s v="Nuclear"/>
    <s v="Nuclear"/>
    <s v="CANDU"/>
    <m/>
    <s v="The Units 5-8 will go through refurbishment in 2026-2032 and we expect an additional 30 years of service once complete - 2.1.2024"/>
    <n v="-79.063810000000004"/>
    <n v="43.80959"/>
  </r>
  <r>
    <n v="227516"/>
    <n v="120903"/>
    <s v="NR_SNL227516"/>
    <n v="56"/>
    <m/>
    <s v="Saskatchewan SMR Nuclear CDU 1"/>
    <m/>
    <s v="SaskPower International Inc."/>
    <s v="Nuclear"/>
    <m/>
    <m/>
    <m/>
    <n v="315"/>
    <s v="Early Development"/>
    <m/>
    <x v="26"/>
    <s v="Correction"/>
    <s v="Per Pradip Input - project is more likely for 2032 or beyond - 12.10.2025"/>
    <s v="Early Development"/>
    <d v="2030-06-01T00:00:00"/>
    <m/>
    <m/>
    <m/>
    <s v="Nuclear"/>
    <s v="Nuclear"/>
    <s v="CANDU"/>
    <m/>
    <m/>
    <m/>
    <m/>
  </r>
  <r>
    <n v="153909"/>
    <n v="82278"/>
    <s v="NR_SNL153909"/>
    <m/>
    <m/>
    <s v="Point Lepreau OTH 1"/>
    <m/>
    <s v="New Brunswick Power Corporation"/>
    <s v="Nuclear"/>
    <s v="Musquash"/>
    <s v="NB"/>
    <s v="New Brunswick"/>
    <n v="300"/>
    <s v="Early Development"/>
    <m/>
    <x v="27"/>
    <s v="SNL"/>
    <s v="Monthly SNL Updates"/>
    <s v="Early Development"/>
    <d v="2030-01-01T00:00:00"/>
    <m/>
    <m/>
    <m/>
    <s v="Nuclear"/>
    <s v="Nuclear"/>
    <m/>
    <s v="Project is in New Units List - 4.30.2026"/>
    <m/>
    <n v="-66.454880000000003"/>
    <n v="45.06982"/>
  </r>
  <r>
    <n v="135176"/>
    <n v="74030"/>
    <s v="NR_SNL135176"/>
    <n v="36"/>
    <m/>
    <s v="Darlington BWR A"/>
    <m/>
    <s v="Independent Electricity System Operator"/>
    <s v="Nuclear"/>
    <s v="Clarington"/>
    <s v="ON"/>
    <s v="Ontario"/>
    <n v="300"/>
    <s v="Under Construction"/>
    <s v="Per Article Darlington SMR has been approved to start construction - 5.9.2025"/>
    <x v="28"/>
    <s v="SNL"/>
    <s v="Monthly SNL Updates"/>
    <s v="Under Construction"/>
    <d v="2030-06-01T00:00:00"/>
    <m/>
    <m/>
    <m/>
    <s v="Nuclear"/>
    <s v="Nuclear"/>
    <s v="Boiling Water Reactor"/>
    <s v="Monthly SNL Updates"/>
    <m/>
    <n v="-78.724549999999994"/>
    <n v="43.869790000000002"/>
  </r>
  <r>
    <n v="221787"/>
    <n v="74030"/>
    <s v="NR_SNL221787"/>
    <n v="36"/>
    <m/>
    <s v="Darlington BWR D"/>
    <m/>
    <s v="Independent Electricity System Operator"/>
    <s v="Nuclear"/>
    <s v="Clarington"/>
    <s v="ON"/>
    <s v="Ontario"/>
    <n v="300"/>
    <s v="Early Development"/>
    <m/>
    <x v="6"/>
    <s v="SNL"/>
    <s v="Monthly SNL Updates"/>
    <s v="Early Development"/>
    <d v="2035-06-01T00:00:00"/>
    <m/>
    <m/>
    <m/>
    <s v="Nuclear"/>
    <s v="Nuclear"/>
    <s v="Boiling Water Reactor"/>
    <m/>
    <m/>
    <n v="-78.724549999999994"/>
    <n v="43.869790000000002"/>
  </r>
  <r>
    <n v="221786"/>
    <n v="74030"/>
    <s v="NR_SNL221786"/>
    <n v="36"/>
    <m/>
    <s v="Darlington BWR C"/>
    <m/>
    <s v="Independent Electricity System Operator"/>
    <s v="Nuclear"/>
    <s v="Clarington"/>
    <s v="ON"/>
    <s v="Ontario"/>
    <n v="300"/>
    <s v="Announced"/>
    <m/>
    <x v="6"/>
    <s v="SNL"/>
    <s v="Monthly SNL Updates"/>
    <s v="Early Development"/>
    <d v="2035-06-01T00:00:00"/>
    <m/>
    <m/>
    <m/>
    <s v="Nuclear"/>
    <s v="Nuclear"/>
    <s v="Boiling Water Reactor"/>
    <m/>
    <m/>
    <n v="-78.724549999999994"/>
    <n v="43.869790000000002"/>
  </r>
  <r>
    <n v="221785"/>
    <n v="74030"/>
    <s v="NR_SNL221785"/>
    <n v="36"/>
    <m/>
    <s v="Darlington BWR B"/>
    <m/>
    <s v="Independent Electricity System Operator"/>
    <s v="Nuclear"/>
    <s v="Clarington"/>
    <s v="ON"/>
    <s v="Ontario"/>
    <n v="300"/>
    <s v="Announced"/>
    <m/>
    <x v="6"/>
    <s v="SNL"/>
    <s v="Monthly SNL Updates"/>
    <s v="Early Development"/>
    <d v="2035-06-01T00:00:00"/>
    <m/>
    <m/>
    <m/>
    <s v="Nuclear"/>
    <s v="Nuclear"/>
    <s v="Boiling Water Reactor"/>
    <m/>
    <m/>
    <n v="-78.724549999999994"/>
    <n v="43.869790000000002"/>
  </r>
  <r>
    <n v="111266"/>
    <n v="63167"/>
    <s v="NR_SNL111266"/>
    <n v="27"/>
    <m/>
    <s v="Stable Salt Reactor OTH 1"/>
    <m/>
    <s v="New Brunswick Power Corporation"/>
    <s v="Nuclear"/>
    <s v="Musquash"/>
    <s v="NB"/>
    <s v="New Brunswick"/>
    <n v="300"/>
    <s v="Early Development"/>
    <s v="Monthly SNL Updates"/>
    <x v="29"/>
    <s v="Delay - 1 Year"/>
    <s v="Delaying 12 months to push out of our &lt;2035 view - 12.10.2025"/>
    <s v="Early Development"/>
    <d v="2030-01-01T00:00:00"/>
    <m/>
    <m/>
    <m/>
    <s v="Nuclear"/>
    <s v="Nuclear"/>
    <m/>
    <s v="Include in Scenario per SS review 08242021 see In service date Comments for note"/>
    <m/>
    <n v="-66.454490000000007"/>
    <n v="45.069789999999998"/>
  </r>
  <r>
    <n v="92504"/>
    <n v="52453"/>
    <s v="NR_SNL92504"/>
    <n v="36"/>
    <m/>
    <s v="GFP MMR BWR 1"/>
    <m/>
    <s v="Independent Electricity System Operator"/>
    <s v="Nuclear"/>
    <s v="Deep River"/>
    <s v="ON"/>
    <s v="Ontario"/>
    <n v="5"/>
    <s v="Early Development"/>
    <m/>
    <x v="30"/>
    <s v="SNL"/>
    <s v="Monthly SNL Updates"/>
    <s v="Early Development"/>
    <d v="2028-06-01T00:00:00"/>
    <m/>
    <m/>
    <m/>
    <s v="Nuclear"/>
    <s v="Nuclear"/>
    <s v="Boiling Water Reactor"/>
    <s v="Monthly SNL Updates"/>
    <m/>
    <n v="-77.364890000000003"/>
    <n v="46.04724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Sask Power GE-Hitachi- 300 MW Nuclear"/>
    <s v="NR_RFP7405"/>
    <s v="RFP7405"/>
    <s v="RFP"/>
    <s v="Included"/>
    <s v="300 MW Nuclear"/>
    <x v="0"/>
    <s v="Saskatchewan (SK)"/>
    <m/>
    <s v="MRO_Saskatchewan~57"/>
    <s v="Nuclear"/>
    <m/>
    <n v="300"/>
    <x v="0"/>
    <s v="SMR"/>
    <m/>
    <s v="Per New Unit Sales SMR List - Opportunity Estavan"/>
    <s v="Z003MCZR"/>
    <s v="David Nordenmalm (Z003MCZR)"/>
    <d v="2024-12-16T00:00:00"/>
    <s v="Z003MCZR"/>
    <s v="David Nordenmalm (Z003MCZR)"/>
    <d v="2024-12-16T00:00:00"/>
  </r>
  <r>
    <s v="Sask Power GE-Hitachi- 300 MW Nuclear"/>
    <s v="NR_RFP7406"/>
    <s v="RFP7406"/>
    <s v="RFP"/>
    <s v="Included"/>
    <s v="300 MW Nuclear"/>
    <x v="1"/>
    <s v="Saskatchewan (SK)"/>
    <m/>
    <s v="MRO_Saskatchewan~57"/>
    <s v="Nuclear"/>
    <m/>
    <n v="300"/>
    <x v="1"/>
    <s v="SMR"/>
    <m/>
    <s v="Per New Unit Sales SMR List - Opportunity Estavan"/>
    <s v="Z003MCZR"/>
    <s v="David Nordenmalm (Z003MCZR)"/>
    <d v="2024-12-16T00:00:00"/>
    <s v="Z003MCZR"/>
    <s v="David Nordenmalm (Z003MCZR)"/>
    <d v="2024-12-16T00:00:00"/>
  </r>
  <r>
    <s v="Sask Power Westinghouse - 300 MW Nuclear"/>
    <s v="NR_RFP7402"/>
    <s v="RFP7402"/>
    <s v="RFP"/>
    <s v="Included"/>
    <s v="300 MW Nuclear"/>
    <x v="1"/>
    <s v="Saskatchewan (SK)"/>
    <m/>
    <s v="MRO_Saskatchewan~57"/>
    <s v="Nuclear"/>
    <m/>
    <n v="300"/>
    <x v="1"/>
    <s v="SMR"/>
    <m/>
    <s v="Per New Unit Sales SMR List"/>
    <s v="Z003MCZR"/>
    <s v="David Nordenmalm (Z003MCZR)"/>
    <d v="2024-12-16T00:00:00"/>
    <s v="Z003MCZR"/>
    <s v="David Nordenmalm (Z003MCZR)"/>
    <d v="2024-12-16T00:00:00"/>
  </r>
  <r>
    <s v="Sask Power GE-Hitachi- 300 MW Nuclear"/>
    <s v="NR_RFP7407"/>
    <s v="RFP7407"/>
    <s v="RFP"/>
    <s v="Included"/>
    <s v="300 MW Nuclear"/>
    <x v="2"/>
    <s v="Saskatchewan (SK)"/>
    <m/>
    <s v="MRO_Saskatchewan~57"/>
    <s v="Nuclear"/>
    <m/>
    <n v="300"/>
    <x v="2"/>
    <s v="SMR"/>
    <m/>
    <s v="Per New Unit Sales SMR List - Opportunity Estavan"/>
    <s v="Z003MCZR"/>
    <s v="David Nordenmalm (Z003MCZR)"/>
    <d v="2024-12-16T00:00:00"/>
    <s v="Z003MCZR"/>
    <s v="David Nordenmalm (Z003MCZR)"/>
    <d v="2024-12-16T00:00:00"/>
  </r>
  <r>
    <s v="Sask Power Westinghouse - 300 MW Nuclear"/>
    <s v="NR_RFP7403"/>
    <s v="RFP7403"/>
    <s v="RFP"/>
    <s v="Included"/>
    <s v="300 MW Nuclear"/>
    <x v="2"/>
    <s v="Saskatchewan (SK)"/>
    <m/>
    <s v="MRO_Saskatchewan~57"/>
    <s v="Nuclear"/>
    <m/>
    <n v="300"/>
    <x v="2"/>
    <s v="SMR"/>
    <m/>
    <s v="Per New Unit Sales SMR List"/>
    <s v="Z003MCZR"/>
    <s v="David Nordenmalm (Z003MCZR)"/>
    <d v="2024-12-16T00:00:00"/>
    <s v="Z003MCZR"/>
    <s v="David Nordenmalm (Z003MCZR)"/>
    <d v="2024-12-16T00:00:00"/>
  </r>
  <r>
    <s v="Sask Power GE-Hitachi- 300 MW Nuclear"/>
    <s v="NR_RFP7408"/>
    <s v="RFP7408"/>
    <s v="RFP"/>
    <s v="Included"/>
    <s v="300 MW Nuclear"/>
    <x v="3"/>
    <s v="Saskatchewan (SK)"/>
    <m/>
    <s v="MRO_Saskatchewan~57"/>
    <s v="Nuclear"/>
    <m/>
    <n v="300"/>
    <x v="3"/>
    <s v="SMR"/>
    <m/>
    <s v="Per New Unit Sales SMR List - Opportunity Estavan"/>
    <s v="Z003MCZR"/>
    <s v="David Nordenmalm (Z003MCZR)"/>
    <d v="2024-12-16T00:00:00"/>
    <s v="Z003MCZR"/>
    <s v="David Nordenmalm (Z003MCZR)"/>
    <d v="2024-12-16T00:00:00"/>
  </r>
  <r>
    <s v="Sask Power Westinghouse - 300 MW Nuclear"/>
    <s v="NR_RFP7404"/>
    <s v="RFP7404"/>
    <s v="RFP"/>
    <s v="Included"/>
    <s v="300 MW Nuclear"/>
    <x v="3"/>
    <s v="Saskatchewan (SK)"/>
    <m/>
    <s v="MRO_Saskatchewan~57"/>
    <s v="Nuclear"/>
    <m/>
    <n v="300"/>
    <x v="3"/>
    <s v="SMR"/>
    <m/>
    <s v="Per New Unit Sales SMR List"/>
    <s v="Z003MCZR"/>
    <s v="David Nordenmalm (Z003MCZR)"/>
    <d v="2024-12-16T00:00:00"/>
    <s v="Z003MCZR"/>
    <s v="David Nordenmalm (Z003MCZR)"/>
    <d v="2024-12-16T00:00:00"/>
  </r>
  <r>
    <s v="Darlington East Unit 1 - 1000 MW Nuclear"/>
    <s v="NR_RFP7395"/>
    <s v="RFP7395"/>
    <s v="RFP"/>
    <s v="Included"/>
    <s v="1000 MW Nuclear"/>
    <x v="3"/>
    <s v="ON"/>
    <m/>
    <s v="NPCC_Ontario_East~36"/>
    <s v="Nuclear"/>
    <m/>
    <n v="1000"/>
    <x v="3"/>
    <s v="Nuclear"/>
    <m/>
    <s v="Per Sales New Unit SMR List"/>
    <s v="Z003MCZR"/>
    <s v="David Nordenmalm (Z003MCZR)"/>
    <d v="2024-12-13T00:00:00"/>
    <s v="Z003MCZR"/>
    <s v="David Nordenmalm (Z003MCZR)"/>
    <d v="2024-12-13T00:00:00"/>
  </r>
  <r>
    <s v="Darlington East Unit 2 - 1000 MW Nuclear"/>
    <s v="NR_RFP7396"/>
    <s v="RFP7396"/>
    <s v="RFP"/>
    <s v="Included"/>
    <s v="1000 MW Nuclear"/>
    <x v="4"/>
    <s v="ON"/>
    <m/>
    <s v="NPCC_Ontario_East~36"/>
    <s v="Nuclear"/>
    <m/>
    <n v="1000"/>
    <x v="4"/>
    <s v="Nuclear"/>
    <m/>
    <s v="Per Sales New Unit SMR List"/>
    <s v="Z003MCZR"/>
    <s v="David Nordenmalm (Z003MCZR)"/>
    <d v="2024-12-13T00:00:00"/>
    <s v="Z003MCZR"/>
    <s v="David Nordenmalm (Z003MCZR)"/>
    <d v="2024-12-13T00:00:00"/>
  </r>
  <r>
    <s v="Darlington East Unit 3 - 1000 MW Nuclear"/>
    <s v="NR_RFP7397"/>
    <s v="RFP7397"/>
    <s v="RFP"/>
    <s v="Included"/>
    <s v="1000 MW Nuclear"/>
    <x v="5"/>
    <s v="ON"/>
    <m/>
    <s v="NPCC_Ontario_East~36"/>
    <s v="Nuclear"/>
    <m/>
    <n v="1000"/>
    <x v="5"/>
    <s v="Nuclear"/>
    <m/>
    <s v="Per Sales New Unit SMR List"/>
    <s v="Z003MCZR"/>
    <s v="David Nordenmalm (Z003MCZR)"/>
    <d v="2024-12-13T00:00:00"/>
    <s v="Z003MCZR"/>
    <s v="David Nordenmalm (Z003MCZR)"/>
    <d v="2024-12-13T00:00:00"/>
  </r>
  <r>
    <s v="Lambton Unit 1 - 1100 MW Nuclear"/>
    <s v="NR_RFP9521"/>
    <s v="RFP9521"/>
    <s v="RFP"/>
    <s v="Included"/>
    <s v="1100 MW Nuclear"/>
    <x v="6"/>
    <s v="ON"/>
    <s v="St. Clair"/>
    <s v="NPCC_Ontario_West~33"/>
    <s v="Nuclear"/>
    <m/>
    <n v="1100"/>
    <x v="6"/>
    <s v="Nuclear"/>
    <m/>
    <s v="New Unit Sales and OPG Power Plan"/>
    <s v="Z003MCZR"/>
    <s v="David Nordenmalm (Z003MCZR)"/>
    <d v="2025-08-12T00:00:00"/>
    <s v="Z003MCZR"/>
    <s v="David Nordenmalm (Z003MCZR)"/>
    <d v="2025-11-10T00:00:00"/>
  </r>
  <r>
    <s v="Darlington East Unit 4 - 1000 MW Nuclear"/>
    <s v="NR_RFP7398"/>
    <s v="RFP7398"/>
    <s v="RFP"/>
    <s v="Included"/>
    <s v="1000 MW Nuclear"/>
    <x v="6"/>
    <s v="ON"/>
    <m/>
    <s v="NPCC_Ontario_East~36"/>
    <s v="Nuclear"/>
    <m/>
    <n v="1000"/>
    <x v="6"/>
    <s v="Nuclear"/>
    <m/>
    <s v="Per Sales New Unit SMR List"/>
    <s v="Z003MCZR"/>
    <s v="David Nordenmalm (Z003MCZR)"/>
    <d v="2024-12-13T00:00:00"/>
    <s v="Z003MCZR"/>
    <s v="David Nordenmalm (Z003MCZR)"/>
    <d v="2024-12-13T00:00:00"/>
  </r>
  <r>
    <s v="Lambton Unit 2 - 1100 MW Nuclear"/>
    <s v="NR_RFP9522"/>
    <s v="RFP9522"/>
    <s v="RFP"/>
    <s v="Included"/>
    <s v="1100 MW Nuclear"/>
    <x v="7"/>
    <s v="ON"/>
    <s v="St. Clair"/>
    <s v="NPCC_Ontario_West~33"/>
    <s v="Nuclear"/>
    <m/>
    <n v="1100"/>
    <x v="7"/>
    <s v="Nuclear"/>
    <m/>
    <s v="New Unit Sales and OPG Power Plan"/>
    <s v="Z003MCZR"/>
    <s v="David Nordenmalm (Z003MCZR)"/>
    <d v="2025-08-12T00:00:00"/>
    <s v="Z003MCZR"/>
    <s v="David Nordenmalm (Z003MCZR)"/>
    <d v="2025-11-10T00:00:00"/>
  </r>
  <r>
    <s v="Wesleyville Unit 5 - 1100 MW Nuclear"/>
    <s v="NR_RFP9517"/>
    <s v="RFP9517"/>
    <s v="RFP"/>
    <s v="Included"/>
    <s v="1100 MW Nuclear"/>
    <x v="7"/>
    <s v="ON"/>
    <s v="Port Hope"/>
    <s v="~16"/>
    <s v="Nuclear"/>
    <m/>
    <n v="1100"/>
    <x v="7"/>
    <s v="Nuclear"/>
    <m/>
    <s v="Per OPG publication"/>
    <s v="Z003MCZR"/>
    <s v="David Nordenmalm (Z003MCZR)"/>
    <d v="2025-08-12T00:00:00"/>
    <s v="Z003MCZR"/>
    <s v="David Nordenmalm (Z003MCZR)"/>
    <d v="2025-11-10T00:00:00"/>
  </r>
  <r>
    <s v="Wesleyville Unit 6 - 1100 MW Nuclear"/>
    <s v="NR_RFP9518"/>
    <s v="RFP9518"/>
    <s v="RFP"/>
    <s v="Included"/>
    <s v="1100 MW Nuclear"/>
    <x v="8"/>
    <s v="ON"/>
    <s v="Port Hope"/>
    <s v="~16"/>
    <s v="Nuclear"/>
    <m/>
    <n v="1100"/>
    <x v="8"/>
    <s v="Nuclear"/>
    <m/>
    <s v="Per OPG publication"/>
    <s v="Z003MCZR"/>
    <s v="David Nordenmalm (Z003MCZR)"/>
    <d v="2025-08-12T00:00:00"/>
    <s v="Z003MCZR"/>
    <s v="David Nordenmalm (Z003MCZR)"/>
    <d v="2025-11-10T00:00:00"/>
  </r>
  <r>
    <s v="Wesleyville Unit 7 - 1100 MW Nuclear"/>
    <s v="NR_RFP9519"/>
    <s v="RFP9519"/>
    <s v="RFP"/>
    <s v="Included"/>
    <s v="1100 MW Nuclear"/>
    <x v="9"/>
    <s v="ON"/>
    <s v="Port Hope"/>
    <s v="~16"/>
    <s v="Nuclear"/>
    <m/>
    <n v="1100"/>
    <x v="9"/>
    <s v="Nuclear"/>
    <m/>
    <s v="Per OPG publication"/>
    <s v="Z003MCZR"/>
    <s v="David Nordenmalm (Z003MCZR)"/>
    <d v="2025-08-12T00:00:00"/>
    <s v="Z003MCZR"/>
    <s v="David Nordenmalm (Z003MCZR)"/>
    <d v="2025-11-10T00:00:00"/>
  </r>
  <r>
    <s v="Wesleyville Unit 8 - 1100 MW Nuclear"/>
    <s v="NR_RFP9520"/>
    <s v="RFP9520"/>
    <s v="RFP"/>
    <s v="Included"/>
    <s v="1100 MW Nuclear"/>
    <x v="10"/>
    <s v="ON"/>
    <s v="Port Hope"/>
    <s v="~16"/>
    <s v="Nuclear"/>
    <m/>
    <n v="1100"/>
    <x v="10"/>
    <s v="Nuclear"/>
    <m/>
    <s v="Per OPG publication"/>
    <s v="Z003MCZR"/>
    <s v="David Nordenmalm (Z003MCZR)"/>
    <d v="2025-08-12T00:00:00"/>
    <s v="Z003MCZR"/>
    <s v="David Nordenmalm (Z003MCZR)"/>
    <d v="2025-11-10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2334"/>
    <n v="1982"/>
    <s v="Bruce A"/>
    <s v="Bruce CDU 1"/>
    <s v="Nuclear"/>
    <n v="805"/>
    <s v="75 MW"/>
    <n v="75"/>
    <n v="880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8828"/>
    <n v="1982"/>
    <s v="Bruce A"/>
    <s v="Bruce CDU 3"/>
    <s v="Nuclear"/>
    <n v="805"/>
    <s v="75 MW"/>
    <n v="75"/>
    <n v="880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8829"/>
    <n v="1982"/>
    <s v="Bruce A"/>
    <s v="Bruce CDU 2"/>
    <s v="Nuclear"/>
    <n v="805"/>
    <s v="75 MW"/>
    <n v="75"/>
    <n v="880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8830"/>
    <n v="1982"/>
    <s v="Bruce A"/>
    <s v="Bruce CDU 4"/>
    <s v="Nuclear"/>
    <n v="805"/>
    <s v="75 MW"/>
    <n v="75"/>
    <n v="880"/>
    <s v="Manual"/>
    <s v="Uprate"/>
    <x v="1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2335"/>
    <n v="1983"/>
    <s v="Bruce B"/>
    <s v="Bruce CDU 8"/>
    <s v="Nuclear"/>
    <n v="840"/>
    <s v="75 MW"/>
    <n v="75"/>
    <n v="915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8824"/>
    <n v="1983"/>
    <s v="Bruce B"/>
    <s v="Bruce CDU 5"/>
    <s v="Nuclear"/>
    <n v="840"/>
    <s v="75 MW"/>
    <n v="75"/>
    <n v="915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8825"/>
    <n v="1983"/>
    <s v="Bruce B"/>
    <s v="Bruce CDU 6"/>
    <s v="Nuclear"/>
    <n v="870"/>
    <s v="75 MW"/>
    <n v="75"/>
    <n v="945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  <r>
    <n v="28826"/>
    <n v="1983"/>
    <s v="Bruce B"/>
    <s v="Bruce CDU 7"/>
    <s v="Nuclear"/>
    <n v="840"/>
    <s v="75 MW"/>
    <n v="75"/>
    <n v="915"/>
    <s v="Manual"/>
    <s v="Uprate"/>
    <x v="0"/>
    <s v="Active"/>
    <s v="Per Article Bruce Units will receive a 600MW Site Uprate under Project 2030 - https://www.capitaliq.spglobal.com/web/client?auth=inherit#news/article?KeyProductLinkType=2&amp;id=88800522"/>
    <d v="2025-05-02T00:00:00"/>
    <s v="David Nordenmalm (Z003MCZR)"/>
    <d v="2025-10-09T00:00:00"/>
    <s v="GRINH00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9E540-C6E9-4AE7-963E-90BAEF683C9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32">
        <item x="19"/>
        <item x="20"/>
        <item x="18"/>
        <item x="21"/>
        <item x="15"/>
        <item x="25"/>
        <item x="23"/>
        <item x="14"/>
        <item x="24"/>
        <item x="16"/>
        <item x="22"/>
        <item x="17"/>
        <item x="11"/>
        <item x="12"/>
        <item x="13"/>
        <item x="30"/>
        <item x="27"/>
        <item x="28"/>
        <item x="26"/>
        <item x="6"/>
        <item x="29"/>
        <item x="4"/>
        <item x="3"/>
        <item x="2"/>
        <item x="1"/>
        <item x="0"/>
        <item x="10"/>
        <item x="8"/>
        <item x="9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t="default"/>
      </items>
    </pivotField>
  </pivotFields>
  <rowFields count="1">
    <field x="32"/>
  </rowFields>
  <rowItems count="26">
    <i>
      <x v="1"/>
    </i>
    <i>
      <x v="2"/>
    </i>
    <i>
      <x v="3"/>
    </i>
    <i>
      <x v="7"/>
    </i>
    <i>
      <x v="8"/>
    </i>
    <i>
      <x v="9"/>
    </i>
    <i>
      <x v="10"/>
    </i>
    <i>
      <x v="14"/>
    </i>
    <i>
      <x v="16"/>
    </i>
    <i>
      <x v="17"/>
    </i>
    <i>
      <x v="52"/>
    </i>
    <i>
      <x v="54"/>
    </i>
    <i>
      <x v="57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2"/>
    </i>
    <i t="grand">
      <x/>
    </i>
  </rowItems>
  <colItems count="1">
    <i/>
  </colItems>
  <dataFields count="1">
    <dataField name="Sum of Unit Nameplate Capacit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97D69-CA7C-47E5-AEA4-662486BAC284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urrent Operating Capacit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4996A-EAE1-49B4-8F12-ABCA0B506BB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t="default"/>
      </items>
    </pivotField>
  </pivotFields>
  <rowFields count="1">
    <field x="20"/>
  </rowFields>
  <rowItems count="3">
    <i>
      <x v="1"/>
    </i>
    <i>
      <x v="31"/>
    </i>
    <i t="grand">
      <x/>
    </i>
  </rowItems>
  <colItems count="1">
    <i/>
  </colItems>
  <dataFields count="1">
    <dataField name="Sum of Winter 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643D-0FAF-4FC5-97CF-8AF03ECC8615}">
  <dimension ref="A2:G22"/>
  <sheetViews>
    <sheetView tabSelected="1" workbookViewId="0">
      <selection activeCell="E26" sqref="E26"/>
    </sheetView>
  </sheetViews>
  <sheetFormatPr defaultRowHeight="15" x14ac:dyDescent="0.25"/>
  <cols>
    <col min="1" max="1" width="3.7109375" customWidth="1"/>
    <col min="2" max="6" width="25.7109375" style="2" customWidth="1"/>
    <col min="7" max="7" width="3.7109375" customWidth="1"/>
  </cols>
  <sheetData>
    <row r="2" spans="1:7" ht="15.75" thickBot="1" x14ac:dyDescent="0.3"/>
    <row r="3" spans="1:7" ht="24.75" thickBot="1" x14ac:dyDescent="0.3">
      <c r="A3" s="11"/>
      <c r="B3" s="14"/>
      <c r="C3" s="15" t="s">
        <v>292</v>
      </c>
      <c r="D3" s="15"/>
      <c r="E3" s="15"/>
      <c r="F3" s="14"/>
      <c r="G3" s="16"/>
    </row>
    <row r="4" spans="1:7" ht="15.75" thickBot="1" x14ac:dyDescent="0.3">
      <c r="A4" s="12"/>
      <c r="B4" s="8" t="s">
        <v>158</v>
      </c>
      <c r="C4" s="10" t="s">
        <v>289</v>
      </c>
      <c r="D4" s="10" t="s">
        <v>252</v>
      </c>
      <c r="E4" s="10" t="s">
        <v>253</v>
      </c>
      <c r="F4" s="9" t="s">
        <v>254</v>
      </c>
      <c r="G4" s="17"/>
    </row>
    <row r="5" spans="1:7" x14ac:dyDescent="0.25">
      <c r="A5" s="12"/>
      <c r="B5" s="22" t="s">
        <v>288</v>
      </c>
      <c r="C5" s="34">
        <f>SUM(D5:F5)</f>
        <v>13049</v>
      </c>
      <c r="D5" s="34">
        <f>SUM('A&amp;R Pivot'!B4:B13)</f>
        <v>13049</v>
      </c>
      <c r="E5" s="23">
        <v>0</v>
      </c>
      <c r="F5" s="29">
        <v>0</v>
      </c>
      <c r="G5" s="17"/>
    </row>
    <row r="6" spans="1:7" x14ac:dyDescent="0.25">
      <c r="A6" s="12"/>
      <c r="B6" s="24">
        <v>2027</v>
      </c>
      <c r="C6" s="25">
        <f t="shared" ref="C6:C20" si="0">SUM(D6:F6)</f>
        <v>0</v>
      </c>
      <c r="D6" s="25">
        <v>0</v>
      </c>
      <c r="E6" s="25">
        <v>0</v>
      </c>
      <c r="F6" s="30">
        <v>0</v>
      </c>
      <c r="G6" s="17"/>
    </row>
    <row r="7" spans="1:7" x14ac:dyDescent="0.25">
      <c r="A7" s="12"/>
      <c r="B7" s="24">
        <v>2028</v>
      </c>
      <c r="C7" s="35">
        <f t="shared" si="0"/>
        <v>5</v>
      </c>
      <c r="D7" s="35">
        <f>GETPIVOTDATA("Unit Nameplate Capacity",'A&amp;R Pivot'!$A$3,"Years (Scenario In Service Date)",2028)</f>
        <v>5</v>
      </c>
      <c r="E7" s="25">
        <v>0</v>
      </c>
      <c r="F7" s="30">
        <v>0</v>
      </c>
      <c r="G7" s="17"/>
    </row>
    <row r="8" spans="1:7" x14ac:dyDescent="0.25">
      <c r="A8" s="12"/>
      <c r="B8" s="24">
        <v>2029</v>
      </c>
      <c r="C8" s="25">
        <f t="shared" si="0"/>
        <v>0</v>
      </c>
      <c r="D8" s="25">
        <v>0</v>
      </c>
      <c r="E8" s="25">
        <v>0</v>
      </c>
      <c r="F8" s="30">
        <v>0</v>
      </c>
      <c r="G8" s="17"/>
    </row>
    <row r="9" spans="1:7" x14ac:dyDescent="0.25">
      <c r="A9" s="12"/>
      <c r="B9" s="24">
        <v>2030</v>
      </c>
      <c r="C9" s="35">
        <f t="shared" si="0"/>
        <v>1125</v>
      </c>
      <c r="D9" s="35">
        <f>GETPIVOTDATA("Unit Nameplate Capacity",'A&amp;R Pivot'!$A$3,"Years (Scenario In Service Date)",2030)</f>
        <v>600</v>
      </c>
      <c r="E9" s="25">
        <v>0</v>
      </c>
      <c r="F9" s="37">
        <f>GETPIVOTDATA("Winter Value",'Uprates Pivot'!$A$3,"Years (Upgrade Date)",2030)</f>
        <v>525</v>
      </c>
      <c r="G9" s="17"/>
    </row>
    <row r="10" spans="1:7" x14ac:dyDescent="0.25">
      <c r="A10" s="12"/>
      <c r="B10" s="24">
        <v>2031</v>
      </c>
      <c r="C10" s="25">
        <f t="shared" si="0"/>
        <v>0</v>
      </c>
      <c r="D10" s="25">
        <v>0</v>
      </c>
      <c r="E10" s="25">
        <v>0</v>
      </c>
      <c r="F10" s="30">
        <v>0</v>
      </c>
      <c r="G10" s="17"/>
    </row>
    <row r="11" spans="1:7" x14ac:dyDescent="0.25">
      <c r="A11" s="12"/>
      <c r="B11" s="24">
        <v>2032</v>
      </c>
      <c r="C11" s="25">
        <f t="shared" si="0"/>
        <v>0</v>
      </c>
      <c r="D11" s="25">
        <v>0</v>
      </c>
      <c r="E11" s="25">
        <v>0</v>
      </c>
      <c r="F11" s="30">
        <v>0</v>
      </c>
      <c r="G11" s="17"/>
    </row>
    <row r="12" spans="1:7" x14ac:dyDescent="0.25">
      <c r="A12" s="12"/>
      <c r="B12" s="24">
        <v>2033</v>
      </c>
      <c r="C12" s="35">
        <f t="shared" si="0"/>
        <v>315</v>
      </c>
      <c r="D12" s="35">
        <f>GETPIVOTDATA("Unit Nameplate Capacity",'A&amp;R Pivot'!$A$3,"Years (Scenario In Service Date)",2033)</f>
        <v>315</v>
      </c>
      <c r="E12" s="25">
        <v>0</v>
      </c>
      <c r="F12" s="30">
        <v>0</v>
      </c>
      <c r="G12" s="17"/>
    </row>
    <row r="13" spans="1:7" x14ac:dyDescent="0.25">
      <c r="A13" s="12"/>
      <c r="B13" s="24">
        <v>2034</v>
      </c>
      <c r="C13" s="25">
        <f t="shared" si="0"/>
        <v>0</v>
      </c>
      <c r="D13" s="25">
        <v>0</v>
      </c>
      <c r="E13" s="25">
        <v>0</v>
      </c>
      <c r="F13" s="30">
        <v>0</v>
      </c>
      <c r="G13" s="17"/>
    </row>
    <row r="14" spans="1:7" ht="15.75" thickBot="1" x14ac:dyDescent="0.3">
      <c r="A14" s="12"/>
      <c r="B14" s="26">
        <v>2035</v>
      </c>
      <c r="C14" s="36">
        <f t="shared" si="0"/>
        <v>3100</v>
      </c>
      <c r="D14" s="35">
        <f>GETPIVOTDATA("Unit Nameplate Capacity",'A&amp;R Pivot'!$A$3,"Years (Scenario In Service Date)",2035)</f>
        <v>3100</v>
      </c>
      <c r="E14" s="25">
        <v>0</v>
      </c>
      <c r="F14" s="30">
        <v>0</v>
      </c>
      <c r="G14" s="17"/>
    </row>
    <row r="15" spans="1:7" ht="15.75" thickBot="1" x14ac:dyDescent="0.3">
      <c r="A15" s="12"/>
      <c r="B15" s="8" t="s">
        <v>290</v>
      </c>
      <c r="C15" s="9">
        <f>SUM(C5:C14)</f>
        <v>17594</v>
      </c>
      <c r="D15" s="31"/>
      <c r="E15" s="31"/>
      <c r="F15" s="32"/>
      <c r="G15" s="17"/>
    </row>
    <row r="16" spans="1:7" x14ac:dyDescent="0.25">
      <c r="A16" s="12"/>
      <c r="B16" s="27">
        <v>2036</v>
      </c>
      <c r="C16" s="38">
        <f t="shared" si="0"/>
        <v>300</v>
      </c>
      <c r="D16" s="35">
        <f>GETPIVOTDATA("Unit Nameplate Capacity",'A&amp;R Pivot'!$A$3,"Years (Scenario In Service Date)",2036)</f>
        <v>300</v>
      </c>
      <c r="E16" s="25">
        <v>0</v>
      </c>
      <c r="F16" s="30">
        <v>0</v>
      </c>
      <c r="G16" s="17"/>
    </row>
    <row r="17" spans="1:7" x14ac:dyDescent="0.25">
      <c r="A17" s="12"/>
      <c r="B17" s="24">
        <v>2037</v>
      </c>
      <c r="C17" s="35">
        <f t="shared" si="0"/>
        <v>300</v>
      </c>
      <c r="D17" s="25">
        <v>0</v>
      </c>
      <c r="E17" s="35">
        <f>GETPIVOTDATA("Current Operating Capacity",'IRP &amp; RFP Pivot'!$A$3,"Year",2037)</f>
        <v>300</v>
      </c>
      <c r="F17" s="30">
        <v>0</v>
      </c>
      <c r="G17" s="17"/>
    </row>
    <row r="18" spans="1:7" x14ac:dyDescent="0.25">
      <c r="A18" s="12"/>
      <c r="B18" s="24">
        <v>2038</v>
      </c>
      <c r="C18" s="35">
        <f t="shared" si="0"/>
        <v>2900</v>
      </c>
      <c r="D18" s="35">
        <f>GETPIVOTDATA("Unit Nameplate Capacity",'A&amp;R Pivot'!$A$3,"Years (Scenario In Service Date)",2038)</f>
        <v>2300</v>
      </c>
      <c r="E18" s="35">
        <f>GETPIVOTDATA("Current Operating Capacity",'IRP &amp; RFP Pivot'!$A$3,"Year",2038)</f>
        <v>600</v>
      </c>
      <c r="F18" s="30">
        <v>0</v>
      </c>
      <c r="G18" s="17"/>
    </row>
    <row r="19" spans="1:7" x14ac:dyDescent="0.25">
      <c r="A19" s="12"/>
      <c r="B19" s="24">
        <v>2039</v>
      </c>
      <c r="C19" s="35">
        <f t="shared" si="0"/>
        <v>1800</v>
      </c>
      <c r="D19" s="35">
        <f>GETPIVOTDATA("Unit Nameplate Capacity",'A&amp;R Pivot'!$A$3,"Years (Scenario In Service Date)",2039)</f>
        <v>1200</v>
      </c>
      <c r="E19" s="35">
        <f>GETPIVOTDATA("Current Operating Capacity",'IRP &amp; RFP Pivot'!$A$3,"Year",2039)</f>
        <v>600</v>
      </c>
      <c r="F19" s="30">
        <v>0</v>
      </c>
      <c r="G19" s="17"/>
    </row>
    <row r="20" spans="1:7" ht="15.75" thickBot="1" x14ac:dyDescent="0.3">
      <c r="A20" s="12"/>
      <c r="B20" s="28">
        <v>2040</v>
      </c>
      <c r="C20" s="39">
        <f t="shared" si="0"/>
        <v>4840</v>
      </c>
      <c r="D20" s="39">
        <f>GETPIVOTDATA("Unit Nameplate Capacity",'A&amp;R Pivot'!$A$3,"Years (Scenario In Service Date)",2040)</f>
        <v>3240</v>
      </c>
      <c r="E20" s="39">
        <f>GETPIVOTDATA("Current Operating Capacity",'IRP &amp; RFP Pivot'!$A$3,"Year",2040)</f>
        <v>1600</v>
      </c>
      <c r="F20" s="33">
        <v>0</v>
      </c>
      <c r="G20" s="17"/>
    </row>
    <row r="21" spans="1:7" ht="15.75" thickBot="1" x14ac:dyDescent="0.3">
      <c r="A21" s="12"/>
      <c r="B21" s="20" t="s">
        <v>291</v>
      </c>
      <c r="C21" s="21">
        <f>SUM(C15:C20)</f>
        <v>27734</v>
      </c>
      <c r="D21" s="31"/>
      <c r="E21" s="31"/>
      <c r="F21" s="31"/>
      <c r="G21" s="17"/>
    </row>
    <row r="22" spans="1:7" ht="15.75" thickBot="1" x14ac:dyDescent="0.3">
      <c r="A22" s="13"/>
      <c r="B22" s="19"/>
      <c r="C22" s="19"/>
      <c r="D22" s="19"/>
      <c r="E22" s="19"/>
      <c r="F22" s="19"/>
      <c r="G22" s="18"/>
    </row>
  </sheetData>
  <mergeCells count="1"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9648-E831-4776-9DA8-ADB3EB8E1D40}">
  <dimension ref="A1:AD44"/>
  <sheetViews>
    <sheetView workbookViewId="0">
      <selection activeCell="F29" sqref="F29"/>
    </sheetView>
  </sheetViews>
  <sheetFormatPr defaultRowHeight="15" x14ac:dyDescent="0.25"/>
  <cols>
    <col min="6" max="6" width="27.5703125" customWidth="1"/>
    <col min="8" max="8" width="28.28515625" customWidth="1"/>
    <col min="10" max="10" width="14" customWidth="1"/>
    <col min="13" max="13" width="12" customWidth="1"/>
    <col min="14" max="14" width="23.5703125" customWidth="1"/>
    <col min="15" max="15" width="22.28515625" customWidth="1"/>
    <col min="16" max="16" width="16.7109375" customWidth="1"/>
    <col min="17" max="17" width="18.7109375" customWidth="1"/>
  </cols>
  <sheetData>
    <row r="1" spans="1:30" s="3" customFormat="1" ht="4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25">
      <c r="A2">
        <v>27151</v>
      </c>
      <c r="B2">
        <v>11561</v>
      </c>
      <c r="C2" t="s">
        <v>30</v>
      </c>
      <c r="D2">
        <v>36</v>
      </c>
      <c r="F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1350</v>
      </c>
      <c r="N2" t="s">
        <v>37</v>
      </c>
      <c r="O2" t="s">
        <v>38</v>
      </c>
      <c r="P2" s="1">
        <v>52018</v>
      </c>
      <c r="Q2" t="s">
        <v>39</v>
      </c>
      <c r="R2" t="s">
        <v>40</v>
      </c>
      <c r="S2" t="s">
        <v>41</v>
      </c>
      <c r="X2" t="s">
        <v>33</v>
      </c>
      <c r="Y2" t="s">
        <v>33</v>
      </c>
      <c r="Z2" t="s">
        <v>42</v>
      </c>
      <c r="AA2" t="s">
        <v>43</v>
      </c>
      <c r="AC2">
        <v>-80.037779999999998</v>
      </c>
      <c r="AD2">
        <v>42.811590000000002</v>
      </c>
    </row>
    <row r="3" spans="1:30" x14ac:dyDescent="0.25">
      <c r="A3">
        <v>26429</v>
      </c>
      <c r="B3">
        <v>11561</v>
      </c>
      <c r="C3" t="s">
        <v>44</v>
      </c>
      <c r="D3">
        <v>36</v>
      </c>
      <c r="F3" t="s">
        <v>45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>
        <v>1350</v>
      </c>
      <c r="N3" t="s">
        <v>37</v>
      </c>
      <c r="O3" t="s">
        <v>38</v>
      </c>
      <c r="P3" s="1">
        <v>51653</v>
      </c>
      <c r="Q3" t="s">
        <v>39</v>
      </c>
      <c r="R3" t="s">
        <v>40</v>
      </c>
      <c r="S3" t="s">
        <v>41</v>
      </c>
      <c r="X3" t="s">
        <v>33</v>
      </c>
      <c r="Y3" t="s">
        <v>33</v>
      </c>
      <c r="Z3" t="s">
        <v>42</v>
      </c>
      <c r="AA3" t="s">
        <v>43</v>
      </c>
      <c r="AC3">
        <v>-80.037779999999998</v>
      </c>
      <c r="AD3">
        <v>42.811590000000002</v>
      </c>
    </row>
    <row r="4" spans="1:30" x14ac:dyDescent="0.25">
      <c r="A4">
        <v>27305</v>
      </c>
      <c r="B4">
        <v>12447</v>
      </c>
      <c r="C4" t="s">
        <v>46</v>
      </c>
      <c r="D4">
        <v>8</v>
      </c>
      <c r="F4" t="s">
        <v>47</v>
      </c>
      <c r="H4" t="s">
        <v>32</v>
      </c>
      <c r="I4" t="s">
        <v>33</v>
      </c>
      <c r="J4" t="s">
        <v>48</v>
      </c>
      <c r="K4" t="s">
        <v>35</v>
      </c>
      <c r="L4" t="s">
        <v>36</v>
      </c>
      <c r="M4">
        <v>1200</v>
      </c>
      <c r="N4" t="s">
        <v>49</v>
      </c>
      <c r="P4" s="1">
        <v>51653</v>
      </c>
      <c r="Q4" t="s">
        <v>50</v>
      </c>
      <c r="R4" t="s">
        <v>51</v>
      </c>
      <c r="S4" t="s">
        <v>49</v>
      </c>
      <c r="T4" s="1">
        <v>51653</v>
      </c>
      <c r="X4" t="s">
        <v>33</v>
      </c>
      <c r="Y4" t="s">
        <v>33</v>
      </c>
      <c r="Z4" t="s">
        <v>42</v>
      </c>
      <c r="AA4" t="s">
        <v>52</v>
      </c>
      <c r="AC4">
        <v>-81.575040000000001</v>
      </c>
      <c r="AD4">
        <v>44.340260000000001</v>
      </c>
    </row>
    <row r="5" spans="1:30" x14ac:dyDescent="0.25">
      <c r="A5">
        <v>27304</v>
      </c>
      <c r="B5">
        <v>12447</v>
      </c>
      <c r="C5" t="s">
        <v>53</v>
      </c>
      <c r="D5">
        <v>8</v>
      </c>
      <c r="F5" t="s">
        <v>54</v>
      </c>
      <c r="H5" t="s">
        <v>32</v>
      </c>
      <c r="I5" t="s">
        <v>33</v>
      </c>
      <c r="J5" t="s">
        <v>48</v>
      </c>
      <c r="K5" t="s">
        <v>35</v>
      </c>
      <c r="L5" t="s">
        <v>36</v>
      </c>
      <c r="M5">
        <v>1200</v>
      </c>
      <c r="N5" t="s">
        <v>49</v>
      </c>
      <c r="P5" s="1">
        <v>51288</v>
      </c>
      <c r="Q5" t="s">
        <v>50</v>
      </c>
      <c r="R5" t="s">
        <v>51</v>
      </c>
      <c r="S5" t="s">
        <v>49</v>
      </c>
      <c r="T5" s="1">
        <v>51288</v>
      </c>
      <c r="X5" t="s">
        <v>33</v>
      </c>
      <c r="Y5" t="s">
        <v>33</v>
      </c>
      <c r="Z5" t="s">
        <v>42</v>
      </c>
      <c r="AA5" t="s">
        <v>52</v>
      </c>
      <c r="AC5">
        <v>-81.575040000000001</v>
      </c>
      <c r="AD5">
        <v>44.340260000000001</v>
      </c>
    </row>
    <row r="6" spans="1:30" x14ac:dyDescent="0.25">
      <c r="A6">
        <v>27303</v>
      </c>
      <c r="B6">
        <v>12447</v>
      </c>
      <c r="C6" t="s">
        <v>55</v>
      </c>
      <c r="D6">
        <v>8</v>
      </c>
      <c r="F6" t="s">
        <v>56</v>
      </c>
      <c r="H6" t="s">
        <v>32</v>
      </c>
      <c r="I6" t="s">
        <v>33</v>
      </c>
      <c r="J6" t="s">
        <v>48</v>
      </c>
      <c r="K6" t="s">
        <v>35</v>
      </c>
      <c r="L6" t="s">
        <v>36</v>
      </c>
      <c r="M6">
        <v>1200</v>
      </c>
      <c r="N6" t="s">
        <v>49</v>
      </c>
      <c r="P6" s="1">
        <v>50922</v>
      </c>
      <c r="Q6" t="s">
        <v>50</v>
      </c>
      <c r="R6" t="s">
        <v>51</v>
      </c>
      <c r="S6" t="s">
        <v>49</v>
      </c>
      <c r="T6" s="1">
        <v>50922</v>
      </c>
      <c r="X6" t="s">
        <v>33</v>
      </c>
      <c r="Y6" t="s">
        <v>33</v>
      </c>
      <c r="Z6" t="s">
        <v>42</v>
      </c>
      <c r="AA6" t="s">
        <v>52</v>
      </c>
      <c r="AC6">
        <v>-81.575040000000001</v>
      </c>
      <c r="AD6">
        <v>44.340260000000001</v>
      </c>
    </row>
    <row r="7" spans="1:30" x14ac:dyDescent="0.25">
      <c r="A7">
        <v>27302</v>
      </c>
      <c r="B7">
        <v>12447</v>
      </c>
      <c r="C7" t="s">
        <v>57</v>
      </c>
      <c r="D7">
        <v>8</v>
      </c>
      <c r="F7" t="s">
        <v>58</v>
      </c>
      <c r="H7" t="s">
        <v>32</v>
      </c>
      <c r="I7" t="s">
        <v>33</v>
      </c>
      <c r="J7" t="s">
        <v>48</v>
      </c>
      <c r="K7" t="s">
        <v>35</v>
      </c>
      <c r="L7" t="s">
        <v>36</v>
      </c>
      <c r="M7">
        <v>1200</v>
      </c>
      <c r="N7" t="s">
        <v>49</v>
      </c>
      <c r="P7" s="1">
        <v>50557</v>
      </c>
      <c r="Q7" t="s">
        <v>50</v>
      </c>
      <c r="R7" t="s">
        <v>51</v>
      </c>
      <c r="S7" t="s">
        <v>49</v>
      </c>
      <c r="T7" s="1">
        <v>50557</v>
      </c>
      <c r="X7" t="s">
        <v>33</v>
      </c>
      <c r="Y7" t="s">
        <v>33</v>
      </c>
      <c r="Z7" t="s">
        <v>42</v>
      </c>
      <c r="AA7" t="s">
        <v>52</v>
      </c>
      <c r="AC7">
        <v>-81.575040000000001</v>
      </c>
      <c r="AD7">
        <v>44.340260000000001</v>
      </c>
    </row>
    <row r="8" spans="1:30" x14ac:dyDescent="0.25">
      <c r="A8">
        <v>244456</v>
      </c>
      <c r="B8">
        <v>129384</v>
      </c>
      <c r="C8" t="s">
        <v>59</v>
      </c>
      <c r="D8">
        <v>16</v>
      </c>
      <c r="F8" t="s">
        <v>60</v>
      </c>
      <c r="H8" t="s">
        <v>32</v>
      </c>
      <c r="I8" t="s">
        <v>33</v>
      </c>
      <c r="J8" t="s">
        <v>61</v>
      </c>
      <c r="K8" t="s">
        <v>35</v>
      </c>
      <c r="M8">
        <v>1100</v>
      </c>
      <c r="N8" t="s">
        <v>37</v>
      </c>
      <c r="P8" s="1">
        <v>54210</v>
      </c>
      <c r="Q8" t="s">
        <v>62</v>
      </c>
      <c r="R8" t="s">
        <v>63</v>
      </c>
      <c r="S8" t="s">
        <v>37</v>
      </c>
      <c r="T8" s="1">
        <v>54210</v>
      </c>
      <c r="X8" t="s">
        <v>33</v>
      </c>
      <c r="Y8" t="s">
        <v>33</v>
      </c>
      <c r="Z8" t="s">
        <v>42</v>
      </c>
      <c r="AA8" t="s">
        <v>64</v>
      </c>
      <c r="AC8">
        <v>-78.396709999999999</v>
      </c>
      <c r="AD8">
        <v>43.922449999999998</v>
      </c>
    </row>
    <row r="9" spans="1:30" x14ac:dyDescent="0.25">
      <c r="A9">
        <v>243309</v>
      </c>
      <c r="B9">
        <v>132947</v>
      </c>
      <c r="C9" t="s">
        <v>65</v>
      </c>
      <c r="D9">
        <v>56</v>
      </c>
      <c r="F9" t="s">
        <v>66</v>
      </c>
      <c r="H9" t="s">
        <v>67</v>
      </c>
      <c r="I9" t="s">
        <v>33</v>
      </c>
      <c r="J9" t="s">
        <v>68</v>
      </c>
      <c r="K9" t="s">
        <v>69</v>
      </c>
      <c r="M9">
        <v>1100</v>
      </c>
      <c r="N9" t="s">
        <v>49</v>
      </c>
      <c r="P9" s="1">
        <v>49461</v>
      </c>
      <c r="S9" t="s">
        <v>49</v>
      </c>
      <c r="T9" s="1">
        <v>49461</v>
      </c>
      <c r="X9" t="s">
        <v>33</v>
      </c>
      <c r="Y9" t="s">
        <v>33</v>
      </c>
      <c r="Z9" t="s">
        <v>42</v>
      </c>
      <c r="AA9" t="s">
        <v>64</v>
      </c>
      <c r="AC9">
        <v>-117.24906</v>
      </c>
      <c r="AD9">
        <v>56.459330000000001</v>
      </c>
    </row>
    <row r="10" spans="1:30" x14ac:dyDescent="0.25">
      <c r="A10">
        <v>243310</v>
      </c>
      <c r="B10">
        <v>132947</v>
      </c>
      <c r="C10" t="s">
        <v>70</v>
      </c>
      <c r="D10">
        <v>56</v>
      </c>
      <c r="F10" t="s">
        <v>71</v>
      </c>
      <c r="H10" t="s">
        <v>67</v>
      </c>
      <c r="I10" t="s">
        <v>33</v>
      </c>
      <c r="J10" t="s">
        <v>68</v>
      </c>
      <c r="K10" t="s">
        <v>69</v>
      </c>
      <c r="M10">
        <v>1100</v>
      </c>
      <c r="N10" t="s">
        <v>49</v>
      </c>
      <c r="P10" s="1">
        <v>50557</v>
      </c>
      <c r="S10" t="s">
        <v>49</v>
      </c>
      <c r="T10" s="1">
        <v>50557</v>
      </c>
      <c r="X10" t="s">
        <v>33</v>
      </c>
      <c r="Y10" t="s">
        <v>33</v>
      </c>
      <c r="Z10" t="s">
        <v>42</v>
      </c>
      <c r="AA10" t="s">
        <v>64</v>
      </c>
      <c r="AC10">
        <v>-117.24906</v>
      </c>
      <c r="AD10">
        <v>56.459330000000001</v>
      </c>
    </row>
    <row r="11" spans="1:30" x14ac:dyDescent="0.25">
      <c r="A11">
        <v>243273</v>
      </c>
      <c r="B11">
        <v>132947</v>
      </c>
      <c r="C11" t="s">
        <v>72</v>
      </c>
      <c r="D11">
        <v>56</v>
      </c>
      <c r="F11" t="s">
        <v>73</v>
      </c>
      <c r="H11" t="s">
        <v>67</v>
      </c>
      <c r="I11" t="s">
        <v>33</v>
      </c>
      <c r="J11" t="s">
        <v>68</v>
      </c>
      <c r="K11" t="s">
        <v>69</v>
      </c>
      <c r="M11">
        <v>1100</v>
      </c>
      <c r="N11" t="s">
        <v>49</v>
      </c>
      <c r="P11" s="1">
        <v>49461</v>
      </c>
      <c r="Q11" t="s">
        <v>62</v>
      </c>
      <c r="R11" t="s">
        <v>63</v>
      </c>
      <c r="S11" t="s">
        <v>49</v>
      </c>
      <c r="T11" s="1">
        <v>49461</v>
      </c>
      <c r="X11" t="s">
        <v>33</v>
      </c>
      <c r="Y11" t="s">
        <v>33</v>
      </c>
      <c r="Z11" t="s">
        <v>42</v>
      </c>
      <c r="AA11" t="s">
        <v>64</v>
      </c>
      <c r="AC11">
        <v>-117.24906</v>
      </c>
      <c r="AD11">
        <v>56.459330000000001</v>
      </c>
    </row>
    <row r="12" spans="1:30" x14ac:dyDescent="0.25">
      <c r="A12">
        <v>244455</v>
      </c>
      <c r="B12">
        <v>129384</v>
      </c>
      <c r="C12" t="s">
        <v>74</v>
      </c>
      <c r="D12">
        <v>16</v>
      </c>
      <c r="F12" t="s">
        <v>75</v>
      </c>
      <c r="H12" t="s">
        <v>32</v>
      </c>
      <c r="I12" t="s">
        <v>33</v>
      </c>
      <c r="J12" t="s">
        <v>61</v>
      </c>
      <c r="K12" t="s">
        <v>35</v>
      </c>
      <c r="M12">
        <v>1100</v>
      </c>
      <c r="N12" t="s">
        <v>37</v>
      </c>
      <c r="P12" s="1">
        <v>53479</v>
      </c>
      <c r="S12" t="s">
        <v>37</v>
      </c>
      <c r="T12" s="1">
        <v>53479</v>
      </c>
      <c r="X12" t="s">
        <v>33</v>
      </c>
      <c r="Y12" t="s">
        <v>33</v>
      </c>
      <c r="Z12" t="s">
        <v>42</v>
      </c>
      <c r="AA12" t="s">
        <v>64</v>
      </c>
      <c r="AC12">
        <v>-78.396709999999999</v>
      </c>
      <c r="AD12">
        <v>43.922449999999998</v>
      </c>
    </row>
    <row r="13" spans="1:30" x14ac:dyDescent="0.25">
      <c r="A13">
        <v>244442</v>
      </c>
      <c r="B13">
        <v>129384</v>
      </c>
      <c r="C13" t="s">
        <v>76</v>
      </c>
      <c r="D13">
        <v>16</v>
      </c>
      <c r="F13" t="s">
        <v>77</v>
      </c>
      <c r="H13" t="s">
        <v>32</v>
      </c>
      <c r="I13" t="s">
        <v>33</v>
      </c>
      <c r="J13" t="s">
        <v>61</v>
      </c>
      <c r="K13" t="s">
        <v>35</v>
      </c>
      <c r="M13">
        <v>1100</v>
      </c>
      <c r="N13" t="s">
        <v>37</v>
      </c>
      <c r="P13" s="1">
        <v>52749</v>
      </c>
      <c r="S13" t="s">
        <v>37</v>
      </c>
      <c r="T13" s="1">
        <v>52749</v>
      </c>
      <c r="X13" t="s">
        <v>33</v>
      </c>
      <c r="Y13" t="s">
        <v>33</v>
      </c>
      <c r="Z13" t="s">
        <v>42</v>
      </c>
      <c r="AA13" t="s">
        <v>64</v>
      </c>
      <c r="AC13">
        <v>-78.396709999999999</v>
      </c>
      <c r="AD13">
        <v>43.922449999999998</v>
      </c>
    </row>
    <row r="14" spans="1:30" x14ac:dyDescent="0.25">
      <c r="A14">
        <v>243311</v>
      </c>
      <c r="B14">
        <v>132947</v>
      </c>
      <c r="C14" t="s">
        <v>78</v>
      </c>
      <c r="D14">
        <v>56</v>
      </c>
      <c r="F14" t="s">
        <v>79</v>
      </c>
      <c r="H14" t="s">
        <v>67</v>
      </c>
      <c r="I14" t="s">
        <v>33</v>
      </c>
      <c r="J14" t="s">
        <v>68</v>
      </c>
      <c r="K14" t="s">
        <v>69</v>
      </c>
      <c r="M14">
        <v>1100</v>
      </c>
      <c r="N14" t="s">
        <v>49</v>
      </c>
      <c r="P14" s="1">
        <v>51288</v>
      </c>
      <c r="S14" t="s">
        <v>49</v>
      </c>
      <c r="T14" s="1">
        <v>51288</v>
      </c>
      <c r="X14" t="s">
        <v>33</v>
      </c>
      <c r="Y14" t="s">
        <v>33</v>
      </c>
      <c r="Z14" t="s">
        <v>42</v>
      </c>
      <c r="AA14" t="s">
        <v>64</v>
      </c>
      <c r="AC14">
        <v>-117.24906</v>
      </c>
      <c r="AD14">
        <v>56.459330000000001</v>
      </c>
    </row>
    <row r="15" spans="1:30" x14ac:dyDescent="0.25">
      <c r="A15">
        <v>244454</v>
      </c>
      <c r="B15">
        <v>129384</v>
      </c>
      <c r="C15" t="s">
        <v>80</v>
      </c>
      <c r="D15">
        <v>16</v>
      </c>
      <c r="F15" t="s">
        <v>81</v>
      </c>
      <c r="H15" t="s">
        <v>32</v>
      </c>
      <c r="I15" t="s">
        <v>33</v>
      </c>
      <c r="J15" t="s">
        <v>61</v>
      </c>
      <c r="K15" t="s">
        <v>35</v>
      </c>
      <c r="M15">
        <v>1100</v>
      </c>
      <c r="N15" t="s">
        <v>37</v>
      </c>
      <c r="P15" s="1">
        <v>53114</v>
      </c>
      <c r="S15" t="s">
        <v>37</v>
      </c>
      <c r="T15" s="1">
        <v>53114</v>
      </c>
      <c r="X15" t="s">
        <v>33</v>
      </c>
      <c r="Y15" t="s">
        <v>33</v>
      </c>
      <c r="Z15" t="s">
        <v>42</v>
      </c>
      <c r="AA15" t="s">
        <v>64</v>
      </c>
      <c r="AC15">
        <v>-78.396709999999999</v>
      </c>
      <c r="AD15">
        <v>43.922449999999998</v>
      </c>
    </row>
    <row r="16" spans="1:30" x14ac:dyDescent="0.25">
      <c r="A16">
        <v>239336</v>
      </c>
      <c r="B16">
        <v>129384</v>
      </c>
      <c r="C16" t="s">
        <v>82</v>
      </c>
      <c r="D16">
        <v>16</v>
      </c>
      <c r="F16" t="s">
        <v>83</v>
      </c>
      <c r="H16" t="s">
        <v>32</v>
      </c>
      <c r="I16" t="s">
        <v>33</v>
      </c>
      <c r="J16" t="s">
        <v>61</v>
      </c>
      <c r="K16" t="s">
        <v>35</v>
      </c>
      <c r="M16">
        <v>940</v>
      </c>
      <c r="N16" t="s">
        <v>37</v>
      </c>
      <c r="P16" s="1">
        <v>51288</v>
      </c>
      <c r="S16" t="s">
        <v>37</v>
      </c>
      <c r="T16" s="1">
        <v>51288</v>
      </c>
      <c r="X16" t="s">
        <v>33</v>
      </c>
      <c r="Y16" t="s">
        <v>33</v>
      </c>
      <c r="Z16" t="s">
        <v>42</v>
      </c>
      <c r="AC16">
        <v>-78.396709999999999</v>
      </c>
      <c r="AD16">
        <v>43.922449999999998</v>
      </c>
    </row>
    <row r="17" spans="1:30" x14ac:dyDescent="0.25">
      <c r="A17">
        <v>244440</v>
      </c>
      <c r="B17">
        <v>129384</v>
      </c>
      <c r="C17" t="s">
        <v>84</v>
      </c>
      <c r="D17">
        <v>16</v>
      </c>
      <c r="F17" t="s">
        <v>85</v>
      </c>
      <c r="H17" t="s">
        <v>32</v>
      </c>
      <c r="I17" t="s">
        <v>33</v>
      </c>
      <c r="J17" t="s">
        <v>61</v>
      </c>
      <c r="K17" t="s">
        <v>35</v>
      </c>
      <c r="M17">
        <v>940</v>
      </c>
      <c r="N17" t="s">
        <v>37</v>
      </c>
      <c r="P17" s="1">
        <v>52018</v>
      </c>
      <c r="S17" t="s">
        <v>37</v>
      </c>
      <c r="T17" s="1">
        <v>52018</v>
      </c>
      <c r="X17" t="s">
        <v>33</v>
      </c>
      <c r="Y17" t="s">
        <v>33</v>
      </c>
      <c r="Z17" t="s">
        <v>42</v>
      </c>
      <c r="AA17" t="s">
        <v>64</v>
      </c>
      <c r="AC17">
        <v>-78.396709999999999</v>
      </c>
      <c r="AD17">
        <v>43.922449999999998</v>
      </c>
    </row>
    <row r="18" spans="1:30" x14ac:dyDescent="0.25">
      <c r="A18">
        <v>244439</v>
      </c>
      <c r="B18">
        <v>129384</v>
      </c>
      <c r="C18" t="s">
        <v>86</v>
      </c>
      <c r="D18">
        <v>16</v>
      </c>
      <c r="F18" t="s">
        <v>87</v>
      </c>
      <c r="H18" t="s">
        <v>32</v>
      </c>
      <c r="I18" t="s">
        <v>33</v>
      </c>
      <c r="J18" t="s">
        <v>61</v>
      </c>
      <c r="K18" t="s">
        <v>35</v>
      </c>
      <c r="M18">
        <v>940</v>
      </c>
      <c r="N18" t="s">
        <v>37</v>
      </c>
      <c r="P18" s="1">
        <v>51653</v>
      </c>
      <c r="S18" t="s">
        <v>37</v>
      </c>
      <c r="T18" s="1">
        <v>51653</v>
      </c>
      <c r="X18" t="s">
        <v>33</v>
      </c>
      <c r="Y18" t="s">
        <v>33</v>
      </c>
      <c r="Z18" t="s">
        <v>42</v>
      </c>
      <c r="AA18" t="s">
        <v>64</v>
      </c>
      <c r="AC18">
        <v>-78.396709999999999</v>
      </c>
      <c r="AD18">
        <v>43.922449999999998</v>
      </c>
    </row>
    <row r="19" spans="1:30" x14ac:dyDescent="0.25">
      <c r="A19">
        <v>244441</v>
      </c>
      <c r="B19">
        <v>129384</v>
      </c>
      <c r="C19" t="s">
        <v>88</v>
      </c>
      <c r="D19">
        <v>16</v>
      </c>
      <c r="F19" t="s">
        <v>89</v>
      </c>
      <c r="H19" t="s">
        <v>32</v>
      </c>
      <c r="I19" t="s">
        <v>33</v>
      </c>
      <c r="J19" t="s">
        <v>61</v>
      </c>
      <c r="K19" t="s">
        <v>35</v>
      </c>
      <c r="M19">
        <v>940</v>
      </c>
      <c r="N19" t="s">
        <v>37</v>
      </c>
      <c r="P19" s="1">
        <v>52383</v>
      </c>
      <c r="S19" t="s">
        <v>37</v>
      </c>
      <c r="T19" s="1">
        <v>52383</v>
      </c>
      <c r="X19" t="s">
        <v>33</v>
      </c>
      <c r="Y19" t="s">
        <v>33</v>
      </c>
      <c r="Z19" t="s">
        <v>42</v>
      </c>
      <c r="AA19" t="s">
        <v>64</v>
      </c>
      <c r="AC19">
        <v>-78.396709999999999</v>
      </c>
      <c r="AD19">
        <v>43.922449999999998</v>
      </c>
    </row>
    <row r="20" spans="1:30" x14ac:dyDescent="0.25">
      <c r="A20">
        <v>18973</v>
      </c>
      <c r="B20">
        <v>2658</v>
      </c>
      <c r="C20">
        <v>1158</v>
      </c>
      <c r="D20">
        <v>36</v>
      </c>
      <c r="F20" t="s">
        <v>90</v>
      </c>
      <c r="H20" t="s">
        <v>32</v>
      </c>
      <c r="I20" t="s">
        <v>33</v>
      </c>
      <c r="J20" t="s">
        <v>91</v>
      </c>
      <c r="K20" t="s">
        <v>35</v>
      </c>
      <c r="L20" t="s">
        <v>36</v>
      </c>
      <c r="M20">
        <v>934</v>
      </c>
      <c r="N20" t="s">
        <v>92</v>
      </c>
      <c r="P20" s="1">
        <v>33147</v>
      </c>
      <c r="S20" t="s">
        <v>92</v>
      </c>
      <c r="T20" s="1">
        <v>33147</v>
      </c>
      <c r="W20" t="s">
        <v>93</v>
      </c>
      <c r="X20" t="s">
        <v>33</v>
      </c>
      <c r="Y20" t="s">
        <v>33</v>
      </c>
      <c r="Z20" t="s">
        <v>42</v>
      </c>
      <c r="AB20" t="s">
        <v>94</v>
      </c>
      <c r="AC20">
        <v>-78.724549999999994</v>
      </c>
      <c r="AD20">
        <v>43.869790000000002</v>
      </c>
    </row>
    <row r="21" spans="1:30" x14ac:dyDescent="0.25">
      <c r="A21">
        <v>18972</v>
      </c>
      <c r="B21">
        <v>2658</v>
      </c>
      <c r="C21">
        <v>1157</v>
      </c>
      <c r="D21">
        <v>36</v>
      </c>
      <c r="F21" t="s">
        <v>95</v>
      </c>
      <c r="H21" t="s">
        <v>32</v>
      </c>
      <c r="I21" t="s">
        <v>33</v>
      </c>
      <c r="J21" t="s">
        <v>91</v>
      </c>
      <c r="K21" t="s">
        <v>35</v>
      </c>
      <c r="L21" t="s">
        <v>36</v>
      </c>
      <c r="M21">
        <v>934</v>
      </c>
      <c r="N21" t="s">
        <v>92</v>
      </c>
      <c r="O21" t="s">
        <v>63</v>
      </c>
      <c r="P21" s="1">
        <v>33817</v>
      </c>
      <c r="S21" t="s">
        <v>92</v>
      </c>
      <c r="T21" s="1">
        <v>33909</v>
      </c>
      <c r="W21" t="s">
        <v>96</v>
      </c>
      <c r="X21" t="s">
        <v>33</v>
      </c>
      <c r="Y21" t="s">
        <v>33</v>
      </c>
      <c r="Z21" t="s">
        <v>42</v>
      </c>
      <c r="AB21" t="s">
        <v>97</v>
      </c>
      <c r="AC21">
        <v>-78.724549999999994</v>
      </c>
      <c r="AD21">
        <v>43.869790000000002</v>
      </c>
    </row>
    <row r="22" spans="1:30" x14ac:dyDescent="0.25">
      <c r="A22">
        <v>18974</v>
      </c>
      <c r="B22">
        <v>2658</v>
      </c>
      <c r="C22">
        <v>1159</v>
      </c>
      <c r="D22">
        <v>36</v>
      </c>
      <c r="F22" t="s">
        <v>98</v>
      </c>
      <c r="H22" t="s">
        <v>32</v>
      </c>
      <c r="I22" t="s">
        <v>33</v>
      </c>
      <c r="J22" t="s">
        <v>91</v>
      </c>
      <c r="K22" t="s">
        <v>35</v>
      </c>
      <c r="L22" t="s">
        <v>36</v>
      </c>
      <c r="M22">
        <v>934</v>
      </c>
      <c r="N22" t="s">
        <v>92</v>
      </c>
      <c r="P22" s="1">
        <v>33817</v>
      </c>
      <c r="S22" t="s">
        <v>92</v>
      </c>
      <c r="T22" s="1">
        <v>34001</v>
      </c>
      <c r="W22" t="s">
        <v>93</v>
      </c>
      <c r="X22" t="s">
        <v>33</v>
      </c>
      <c r="Y22" t="s">
        <v>33</v>
      </c>
      <c r="Z22" t="s">
        <v>42</v>
      </c>
      <c r="AA22" t="s">
        <v>99</v>
      </c>
      <c r="AB22" t="s">
        <v>94</v>
      </c>
      <c r="AC22">
        <v>-78.724549999999994</v>
      </c>
      <c r="AD22">
        <v>43.869790000000002</v>
      </c>
    </row>
    <row r="23" spans="1:30" x14ac:dyDescent="0.25">
      <c r="A23">
        <v>18975</v>
      </c>
      <c r="B23">
        <v>2658</v>
      </c>
      <c r="C23">
        <v>1160</v>
      </c>
      <c r="D23">
        <v>36</v>
      </c>
      <c r="F23" t="s">
        <v>100</v>
      </c>
      <c r="H23" t="s">
        <v>32</v>
      </c>
      <c r="I23" t="s">
        <v>33</v>
      </c>
      <c r="J23" t="s">
        <v>91</v>
      </c>
      <c r="K23" t="s">
        <v>35</v>
      </c>
      <c r="L23" t="s">
        <v>36</v>
      </c>
      <c r="M23">
        <v>934</v>
      </c>
      <c r="N23" t="s">
        <v>92</v>
      </c>
      <c r="O23" t="s">
        <v>63</v>
      </c>
      <c r="P23" s="1">
        <v>34134</v>
      </c>
      <c r="S23" t="s">
        <v>92</v>
      </c>
      <c r="T23" s="1">
        <v>34121</v>
      </c>
      <c r="W23" t="s">
        <v>93</v>
      </c>
      <c r="X23" t="s">
        <v>33</v>
      </c>
      <c r="Y23" t="s">
        <v>33</v>
      </c>
      <c r="Z23" t="s">
        <v>42</v>
      </c>
      <c r="AB23" t="s">
        <v>97</v>
      </c>
      <c r="AC23">
        <v>-78.724549999999994</v>
      </c>
      <c r="AD23">
        <v>43.869790000000002</v>
      </c>
    </row>
    <row r="24" spans="1:30" x14ac:dyDescent="0.25">
      <c r="A24">
        <v>28825</v>
      </c>
      <c r="B24">
        <v>1983</v>
      </c>
      <c r="C24">
        <v>560</v>
      </c>
      <c r="D24">
        <v>8</v>
      </c>
      <c r="F24" t="s">
        <v>101</v>
      </c>
      <c r="H24" t="s">
        <v>32</v>
      </c>
      <c r="I24" t="s">
        <v>33</v>
      </c>
      <c r="J24" t="s">
        <v>48</v>
      </c>
      <c r="K24" t="s">
        <v>35</v>
      </c>
      <c r="L24" t="s">
        <v>36</v>
      </c>
      <c r="M24">
        <v>870</v>
      </c>
      <c r="N24" t="s">
        <v>92</v>
      </c>
      <c r="O24" t="s">
        <v>102</v>
      </c>
      <c r="P24" s="1">
        <v>30889</v>
      </c>
      <c r="S24" t="s">
        <v>92</v>
      </c>
      <c r="T24" s="1">
        <v>30926</v>
      </c>
      <c r="W24" t="s">
        <v>103</v>
      </c>
      <c r="X24" t="s">
        <v>33</v>
      </c>
      <c r="Y24" t="s">
        <v>33</v>
      </c>
      <c r="Z24" t="s">
        <v>42</v>
      </c>
      <c r="AA24" t="s">
        <v>104</v>
      </c>
      <c r="AB24" t="s">
        <v>105</v>
      </c>
      <c r="AC24">
        <v>-81.575040000000001</v>
      </c>
      <c r="AD24">
        <v>44.340260000000001</v>
      </c>
    </row>
    <row r="25" spans="1:30" x14ac:dyDescent="0.25">
      <c r="A25">
        <v>22335</v>
      </c>
      <c r="B25">
        <v>1983</v>
      </c>
      <c r="C25">
        <v>562</v>
      </c>
      <c r="D25">
        <v>8</v>
      </c>
      <c r="F25" t="s">
        <v>106</v>
      </c>
      <c r="H25" t="s">
        <v>32</v>
      </c>
      <c r="I25" t="s">
        <v>33</v>
      </c>
      <c r="J25" t="s">
        <v>48</v>
      </c>
      <c r="K25" t="s">
        <v>35</v>
      </c>
      <c r="L25" t="s">
        <v>36</v>
      </c>
      <c r="M25">
        <v>840</v>
      </c>
      <c r="N25" t="s">
        <v>92</v>
      </c>
      <c r="P25" s="1">
        <v>30380</v>
      </c>
      <c r="S25" t="s">
        <v>92</v>
      </c>
      <c r="T25" s="1">
        <v>31898</v>
      </c>
      <c r="W25" t="s">
        <v>103</v>
      </c>
      <c r="X25" t="s">
        <v>33</v>
      </c>
      <c r="Y25" t="s">
        <v>33</v>
      </c>
      <c r="Z25" t="s">
        <v>42</v>
      </c>
      <c r="AB25" t="s">
        <v>105</v>
      </c>
      <c r="AC25">
        <v>-81.575040000000001</v>
      </c>
      <c r="AD25">
        <v>44.340260000000001</v>
      </c>
    </row>
    <row r="26" spans="1:30" x14ac:dyDescent="0.25">
      <c r="A26">
        <v>28824</v>
      </c>
      <c r="B26">
        <v>1983</v>
      </c>
      <c r="C26">
        <v>559</v>
      </c>
      <c r="D26">
        <v>8</v>
      </c>
      <c r="F26" t="s">
        <v>107</v>
      </c>
      <c r="H26" t="s">
        <v>32</v>
      </c>
      <c r="I26" t="s">
        <v>33</v>
      </c>
      <c r="J26" t="s">
        <v>48</v>
      </c>
      <c r="K26" t="s">
        <v>35</v>
      </c>
      <c r="L26" t="s">
        <v>36</v>
      </c>
      <c r="M26">
        <v>840</v>
      </c>
      <c r="N26" t="s">
        <v>92</v>
      </c>
      <c r="P26" s="1">
        <v>31107</v>
      </c>
      <c r="S26" t="s">
        <v>92</v>
      </c>
      <c r="T26" s="1">
        <v>31107</v>
      </c>
      <c r="X26" t="s">
        <v>33</v>
      </c>
      <c r="Y26" t="s">
        <v>33</v>
      </c>
      <c r="Z26" t="s">
        <v>42</v>
      </c>
      <c r="AB26" t="s">
        <v>105</v>
      </c>
      <c r="AC26">
        <v>-81.575040000000001</v>
      </c>
      <c r="AD26">
        <v>44.340260000000001</v>
      </c>
    </row>
    <row r="27" spans="1:30" x14ac:dyDescent="0.25">
      <c r="A27">
        <v>28826</v>
      </c>
      <c r="B27">
        <v>1983</v>
      </c>
      <c r="C27">
        <v>561</v>
      </c>
      <c r="D27">
        <v>8</v>
      </c>
      <c r="F27" t="s">
        <v>108</v>
      </c>
      <c r="H27" t="s">
        <v>32</v>
      </c>
      <c r="I27" t="s">
        <v>33</v>
      </c>
      <c r="J27" t="s">
        <v>48</v>
      </c>
      <c r="K27" t="s">
        <v>35</v>
      </c>
      <c r="L27" t="s">
        <v>36</v>
      </c>
      <c r="M27">
        <v>840</v>
      </c>
      <c r="N27" t="s">
        <v>92</v>
      </c>
      <c r="P27" s="1">
        <v>31503</v>
      </c>
      <c r="S27" t="s">
        <v>92</v>
      </c>
      <c r="T27" s="1">
        <v>31503</v>
      </c>
      <c r="W27" t="s">
        <v>109</v>
      </c>
      <c r="X27" t="s">
        <v>33</v>
      </c>
      <c r="Y27" t="s">
        <v>33</v>
      </c>
      <c r="Z27" t="s">
        <v>42</v>
      </c>
      <c r="AB27" t="s">
        <v>105</v>
      </c>
      <c r="AC27">
        <v>-81.575040000000001</v>
      </c>
      <c r="AD27">
        <v>44.340260000000001</v>
      </c>
    </row>
    <row r="28" spans="1:30" x14ac:dyDescent="0.25">
      <c r="A28">
        <v>28830</v>
      </c>
      <c r="B28">
        <v>1982</v>
      </c>
      <c r="C28">
        <v>558</v>
      </c>
      <c r="D28">
        <v>8</v>
      </c>
      <c r="F28" t="s">
        <v>47</v>
      </c>
      <c r="H28" t="s">
        <v>32</v>
      </c>
      <c r="I28" t="s">
        <v>33</v>
      </c>
      <c r="J28" t="s">
        <v>48</v>
      </c>
      <c r="K28" t="s">
        <v>35</v>
      </c>
      <c r="L28" t="s">
        <v>36</v>
      </c>
      <c r="M28">
        <v>805</v>
      </c>
      <c r="N28" t="s">
        <v>110</v>
      </c>
      <c r="P28" s="1">
        <v>28873</v>
      </c>
      <c r="S28" t="s">
        <v>110</v>
      </c>
      <c r="T28" s="1">
        <v>28856</v>
      </c>
      <c r="W28" t="s">
        <v>111</v>
      </c>
      <c r="X28" t="s">
        <v>33</v>
      </c>
      <c r="Y28" t="s">
        <v>33</v>
      </c>
      <c r="Z28" t="s">
        <v>42</v>
      </c>
      <c r="AB28" t="s">
        <v>112</v>
      </c>
      <c r="AC28">
        <v>-81.575040000000001</v>
      </c>
      <c r="AD28">
        <v>44.340260000000001</v>
      </c>
    </row>
    <row r="29" spans="1:30" x14ac:dyDescent="0.25">
      <c r="A29">
        <v>22334</v>
      </c>
      <c r="B29">
        <v>1982</v>
      </c>
      <c r="C29">
        <v>555</v>
      </c>
      <c r="D29">
        <v>8</v>
      </c>
      <c r="F29" t="s">
        <v>58</v>
      </c>
      <c r="H29" t="s">
        <v>32</v>
      </c>
      <c r="I29" t="s">
        <v>33</v>
      </c>
      <c r="J29" t="s">
        <v>48</v>
      </c>
      <c r="K29" t="s">
        <v>35</v>
      </c>
      <c r="L29" t="s">
        <v>36</v>
      </c>
      <c r="M29">
        <v>805</v>
      </c>
      <c r="N29" t="s">
        <v>92</v>
      </c>
      <c r="P29" s="1">
        <v>28369</v>
      </c>
      <c r="S29" t="s">
        <v>92</v>
      </c>
      <c r="T29" s="1">
        <v>28369</v>
      </c>
      <c r="W29" t="s">
        <v>111</v>
      </c>
      <c r="X29" t="s">
        <v>33</v>
      </c>
      <c r="Y29" t="s">
        <v>33</v>
      </c>
      <c r="Z29" t="s">
        <v>42</v>
      </c>
      <c r="AB29" t="s">
        <v>112</v>
      </c>
      <c r="AC29">
        <v>-81.575040000000001</v>
      </c>
      <c r="AD29">
        <v>44.340260000000001</v>
      </c>
    </row>
    <row r="30" spans="1:30" x14ac:dyDescent="0.25">
      <c r="A30">
        <v>28829</v>
      </c>
      <c r="B30">
        <v>1982</v>
      </c>
      <c r="C30">
        <v>556</v>
      </c>
      <c r="D30">
        <v>8</v>
      </c>
      <c r="F30" t="s">
        <v>56</v>
      </c>
      <c r="H30" t="s">
        <v>32</v>
      </c>
      <c r="I30" t="s">
        <v>33</v>
      </c>
      <c r="J30" t="s">
        <v>48</v>
      </c>
      <c r="K30" t="s">
        <v>35</v>
      </c>
      <c r="L30" t="s">
        <v>36</v>
      </c>
      <c r="M30">
        <v>805</v>
      </c>
      <c r="N30" t="s">
        <v>92</v>
      </c>
      <c r="P30" s="1">
        <v>28369</v>
      </c>
      <c r="S30" t="s">
        <v>92</v>
      </c>
      <c r="T30" s="1">
        <v>28369</v>
      </c>
      <c r="W30" t="s">
        <v>111</v>
      </c>
      <c r="X30" t="s">
        <v>33</v>
      </c>
      <c r="Y30" t="s">
        <v>33</v>
      </c>
      <c r="Z30" t="s">
        <v>42</v>
      </c>
      <c r="AB30" t="s">
        <v>112</v>
      </c>
      <c r="AC30">
        <v>-81.575040000000001</v>
      </c>
      <c r="AD30">
        <v>44.340260000000001</v>
      </c>
    </row>
    <row r="31" spans="1:30" x14ac:dyDescent="0.25">
      <c r="A31">
        <v>28828</v>
      </c>
      <c r="B31">
        <v>1982</v>
      </c>
      <c r="C31">
        <v>557</v>
      </c>
      <c r="D31">
        <v>8</v>
      </c>
      <c r="F31" t="s">
        <v>54</v>
      </c>
      <c r="H31" t="s">
        <v>32</v>
      </c>
      <c r="I31" t="s">
        <v>33</v>
      </c>
      <c r="J31" t="s">
        <v>48</v>
      </c>
      <c r="K31" t="s">
        <v>35</v>
      </c>
      <c r="L31" t="s">
        <v>36</v>
      </c>
      <c r="M31">
        <v>805</v>
      </c>
      <c r="N31" t="s">
        <v>110</v>
      </c>
      <c r="P31" s="1">
        <v>28525</v>
      </c>
      <c r="S31" t="s">
        <v>110</v>
      </c>
      <c r="T31" s="1">
        <v>28522</v>
      </c>
      <c r="W31" t="s">
        <v>111</v>
      </c>
      <c r="X31" t="s">
        <v>33</v>
      </c>
      <c r="Y31" t="s">
        <v>33</v>
      </c>
      <c r="Z31" t="s">
        <v>42</v>
      </c>
      <c r="AB31" t="s">
        <v>112</v>
      </c>
      <c r="AC31">
        <v>-81.575040000000001</v>
      </c>
      <c r="AD31">
        <v>44.340260000000001</v>
      </c>
    </row>
    <row r="32" spans="1:30" x14ac:dyDescent="0.25">
      <c r="A32">
        <v>22480</v>
      </c>
      <c r="B32">
        <v>5598</v>
      </c>
      <c r="C32">
        <v>3742</v>
      </c>
      <c r="D32">
        <v>27</v>
      </c>
      <c r="F32" t="s">
        <v>113</v>
      </c>
      <c r="H32" t="s">
        <v>114</v>
      </c>
      <c r="I32" t="s">
        <v>33</v>
      </c>
      <c r="J32" t="s">
        <v>115</v>
      </c>
      <c r="K32" t="s">
        <v>116</v>
      </c>
      <c r="L32" t="s">
        <v>117</v>
      </c>
      <c r="M32">
        <v>635</v>
      </c>
      <c r="N32" t="s">
        <v>92</v>
      </c>
      <c r="O32" t="s">
        <v>63</v>
      </c>
      <c r="P32" s="1">
        <v>30348</v>
      </c>
      <c r="S32" t="s">
        <v>110</v>
      </c>
      <c r="T32" s="1">
        <v>30348</v>
      </c>
      <c r="W32" t="s">
        <v>111</v>
      </c>
      <c r="X32" t="s">
        <v>33</v>
      </c>
      <c r="Y32" t="s">
        <v>33</v>
      </c>
      <c r="Z32" t="s">
        <v>42</v>
      </c>
      <c r="AB32" t="s">
        <v>118</v>
      </c>
      <c r="AC32">
        <v>-66.45496</v>
      </c>
      <c r="AD32">
        <v>45.069290000000002</v>
      </c>
    </row>
    <row r="33" spans="1:30" x14ac:dyDescent="0.25">
      <c r="A33">
        <v>39209</v>
      </c>
      <c r="B33">
        <v>5515</v>
      </c>
      <c r="C33">
        <v>3689</v>
      </c>
      <c r="D33">
        <v>35</v>
      </c>
      <c r="F33" t="s">
        <v>119</v>
      </c>
      <c r="H33" t="s">
        <v>32</v>
      </c>
      <c r="I33" t="s">
        <v>33</v>
      </c>
      <c r="J33" t="s">
        <v>120</v>
      </c>
      <c r="K33" t="s">
        <v>35</v>
      </c>
      <c r="L33" t="s">
        <v>36</v>
      </c>
      <c r="M33">
        <v>517</v>
      </c>
      <c r="N33" t="s">
        <v>92</v>
      </c>
      <c r="P33" s="1">
        <v>31444</v>
      </c>
      <c r="S33" t="s">
        <v>92</v>
      </c>
      <c r="T33" s="1">
        <v>31444</v>
      </c>
      <c r="W33" t="s">
        <v>111</v>
      </c>
      <c r="X33" t="s">
        <v>33</v>
      </c>
      <c r="Y33" t="s">
        <v>33</v>
      </c>
      <c r="Z33" t="s">
        <v>42</v>
      </c>
      <c r="AB33" t="s">
        <v>121</v>
      </c>
      <c r="AC33">
        <v>-79.063810000000004</v>
      </c>
      <c r="AD33">
        <v>43.80959</v>
      </c>
    </row>
    <row r="34" spans="1:30" x14ac:dyDescent="0.25">
      <c r="A34">
        <v>39207</v>
      </c>
      <c r="B34">
        <v>5515</v>
      </c>
      <c r="C34">
        <v>3687</v>
      </c>
      <c r="D34">
        <v>35</v>
      </c>
      <c r="F34" t="s">
        <v>122</v>
      </c>
      <c r="H34" t="s">
        <v>32</v>
      </c>
      <c r="I34" t="s">
        <v>33</v>
      </c>
      <c r="J34" t="s">
        <v>120</v>
      </c>
      <c r="K34" t="s">
        <v>35</v>
      </c>
      <c r="L34" t="s">
        <v>36</v>
      </c>
      <c r="M34">
        <v>517</v>
      </c>
      <c r="N34" t="s">
        <v>92</v>
      </c>
      <c r="P34" s="1">
        <v>30713</v>
      </c>
      <c r="S34" t="s">
        <v>92</v>
      </c>
      <c r="T34" s="1">
        <v>30713</v>
      </c>
      <c r="W34" t="s">
        <v>111</v>
      </c>
      <c r="X34" t="s">
        <v>33</v>
      </c>
      <c r="Y34" t="s">
        <v>33</v>
      </c>
      <c r="Z34" t="s">
        <v>42</v>
      </c>
      <c r="AB34" t="s">
        <v>121</v>
      </c>
      <c r="AC34">
        <v>-79.063810000000004</v>
      </c>
      <c r="AD34">
        <v>43.80959</v>
      </c>
    </row>
    <row r="35" spans="1:30" x14ac:dyDescent="0.25">
      <c r="A35">
        <v>39208</v>
      </c>
      <c r="B35">
        <v>5515</v>
      </c>
      <c r="C35">
        <v>3688</v>
      </c>
      <c r="D35">
        <v>35</v>
      </c>
      <c r="F35" t="s">
        <v>123</v>
      </c>
      <c r="H35" t="s">
        <v>32</v>
      </c>
      <c r="I35" t="s">
        <v>33</v>
      </c>
      <c r="J35" t="s">
        <v>120</v>
      </c>
      <c r="K35" t="s">
        <v>35</v>
      </c>
      <c r="L35" t="s">
        <v>36</v>
      </c>
      <c r="M35">
        <v>517</v>
      </c>
      <c r="N35" t="s">
        <v>92</v>
      </c>
      <c r="P35" s="1">
        <v>31048</v>
      </c>
      <c r="S35" t="s">
        <v>92</v>
      </c>
      <c r="T35" s="1">
        <v>31048</v>
      </c>
      <c r="W35" t="s">
        <v>111</v>
      </c>
      <c r="X35" t="s">
        <v>33</v>
      </c>
      <c r="Y35" t="s">
        <v>33</v>
      </c>
      <c r="Z35" t="s">
        <v>42</v>
      </c>
      <c r="AB35" t="s">
        <v>121</v>
      </c>
      <c r="AC35">
        <v>-79.063810000000004</v>
      </c>
      <c r="AD35">
        <v>43.80959</v>
      </c>
    </row>
    <row r="36" spans="1:30" x14ac:dyDescent="0.25">
      <c r="A36">
        <v>39206</v>
      </c>
      <c r="B36">
        <v>5515</v>
      </c>
      <c r="C36">
        <v>3686</v>
      </c>
      <c r="D36">
        <v>35</v>
      </c>
      <c r="F36" t="s">
        <v>124</v>
      </c>
      <c r="H36" t="s">
        <v>32</v>
      </c>
      <c r="I36" t="s">
        <v>33</v>
      </c>
      <c r="J36" t="s">
        <v>120</v>
      </c>
      <c r="K36" t="s">
        <v>35</v>
      </c>
      <c r="L36" t="s">
        <v>36</v>
      </c>
      <c r="M36">
        <v>517</v>
      </c>
      <c r="N36" t="s">
        <v>92</v>
      </c>
      <c r="P36" s="1">
        <v>30437</v>
      </c>
      <c r="S36" t="s">
        <v>92</v>
      </c>
      <c r="T36" s="1">
        <v>30437</v>
      </c>
      <c r="W36" t="s">
        <v>111</v>
      </c>
      <c r="X36" t="s">
        <v>33</v>
      </c>
      <c r="Y36" t="s">
        <v>33</v>
      </c>
      <c r="Z36" t="s">
        <v>42</v>
      </c>
      <c r="AB36" t="s">
        <v>121</v>
      </c>
      <c r="AC36">
        <v>-79.063810000000004</v>
      </c>
      <c r="AD36">
        <v>43.80959</v>
      </c>
    </row>
    <row r="37" spans="1:30" x14ac:dyDescent="0.25">
      <c r="A37">
        <v>227516</v>
      </c>
      <c r="B37">
        <v>120903</v>
      </c>
      <c r="C37" t="s">
        <v>125</v>
      </c>
      <c r="D37">
        <v>56</v>
      </c>
      <c r="F37" t="s">
        <v>126</v>
      </c>
      <c r="H37" t="s">
        <v>127</v>
      </c>
      <c r="I37" t="s">
        <v>33</v>
      </c>
      <c r="M37">
        <v>315</v>
      </c>
      <c r="N37" t="s">
        <v>49</v>
      </c>
      <c r="P37" s="1">
        <v>48731</v>
      </c>
      <c r="Q37" t="s">
        <v>128</v>
      </c>
      <c r="R37" t="s">
        <v>129</v>
      </c>
      <c r="S37" t="s">
        <v>49</v>
      </c>
      <c r="T37" s="1">
        <v>47635</v>
      </c>
      <c r="X37" t="s">
        <v>33</v>
      </c>
      <c r="Y37" t="s">
        <v>33</v>
      </c>
      <c r="Z37" t="s">
        <v>42</v>
      </c>
    </row>
    <row r="38" spans="1:30" x14ac:dyDescent="0.25">
      <c r="A38">
        <v>153909</v>
      </c>
      <c r="B38">
        <v>82278</v>
      </c>
      <c r="C38" t="s">
        <v>130</v>
      </c>
      <c r="F38" t="s">
        <v>131</v>
      </c>
      <c r="H38" t="s">
        <v>114</v>
      </c>
      <c r="I38" t="s">
        <v>33</v>
      </c>
      <c r="J38" t="s">
        <v>115</v>
      </c>
      <c r="K38" t="s">
        <v>116</v>
      </c>
      <c r="L38" t="s">
        <v>117</v>
      </c>
      <c r="M38">
        <v>300</v>
      </c>
      <c r="N38" t="s">
        <v>49</v>
      </c>
      <c r="P38" s="1">
        <v>47484</v>
      </c>
      <c r="Q38" t="s">
        <v>62</v>
      </c>
      <c r="R38" t="s">
        <v>63</v>
      </c>
      <c r="S38" t="s">
        <v>49</v>
      </c>
      <c r="T38" s="1">
        <v>47484</v>
      </c>
      <c r="X38" t="s">
        <v>33</v>
      </c>
      <c r="Y38" t="s">
        <v>33</v>
      </c>
      <c r="AA38" t="s">
        <v>132</v>
      </c>
      <c r="AC38">
        <v>-66.454880000000003</v>
      </c>
      <c r="AD38">
        <v>45.06982</v>
      </c>
    </row>
    <row r="39" spans="1:30" x14ac:dyDescent="0.25">
      <c r="A39">
        <v>135176</v>
      </c>
      <c r="B39">
        <v>74030</v>
      </c>
      <c r="C39" t="s">
        <v>133</v>
      </c>
      <c r="D39">
        <v>36</v>
      </c>
      <c r="F39" t="s">
        <v>134</v>
      </c>
      <c r="H39" t="s">
        <v>32</v>
      </c>
      <c r="I39" t="s">
        <v>33</v>
      </c>
      <c r="J39" t="s">
        <v>91</v>
      </c>
      <c r="K39" t="s">
        <v>35</v>
      </c>
      <c r="L39" t="s">
        <v>36</v>
      </c>
      <c r="M39">
        <v>300</v>
      </c>
      <c r="N39" t="s">
        <v>135</v>
      </c>
      <c r="O39" t="s">
        <v>136</v>
      </c>
      <c r="P39" s="1">
        <v>47635</v>
      </c>
      <c r="Q39" t="s">
        <v>62</v>
      </c>
      <c r="R39" t="s">
        <v>63</v>
      </c>
      <c r="S39" t="s">
        <v>135</v>
      </c>
      <c r="T39" s="1">
        <v>47635</v>
      </c>
      <c r="X39" t="s">
        <v>33</v>
      </c>
      <c r="Y39" t="s">
        <v>33</v>
      </c>
      <c r="Z39" t="s">
        <v>137</v>
      </c>
      <c r="AA39" t="s">
        <v>63</v>
      </c>
      <c r="AC39">
        <v>-78.724549999999994</v>
      </c>
      <c r="AD39">
        <v>43.869790000000002</v>
      </c>
    </row>
    <row r="40" spans="1:30" x14ac:dyDescent="0.25">
      <c r="A40">
        <v>221787</v>
      </c>
      <c r="B40">
        <v>74030</v>
      </c>
      <c r="C40" t="s">
        <v>138</v>
      </c>
      <c r="D40">
        <v>36</v>
      </c>
      <c r="F40" t="s">
        <v>139</v>
      </c>
      <c r="H40" t="s">
        <v>32</v>
      </c>
      <c r="I40" t="s">
        <v>33</v>
      </c>
      <c r="J40" t="s">
        <v>91</v>
      </c>
      <c r="K40" t="s">
        <v>35</v>
      </c>
      <c r="L40" t="s">
        <v>36</v>
      </c>
      <c r="M40">
        <v>300</v>
      </c>
      <c r="N40" t="s">
        <v>49</v>
      </c>
      <c r="P40" s="1">
        <v>49461</v>
      </c>
      <c r="Q40" t="s">
        <v>62</v>
      </c>
      <c r="R40" t="s">
        <v>63</v>
      </c>
      <c r="S40" t="s">
        <v>49</v>
      </c>
      <c r="T40" s="1">
        <v>49461</v>
      </c>
      <c r="X40" t="s">
        <v>33</v>
      </c>
      <c r="Y40" t="s">
        <v>33</v>
      </c>
      <c r="Z40" t="s">
        <v>137</v>
      </c>
      <c r="AC40">
        <v>-78.724549999999994</v>
      </c>
      <c r="AD40">
        <v>43.869790000000002</v>
      </c>
    </row>
    <row r="41" spans="1:30" x14ac:dyDescent="0.25">
      <c r="A41">
        <v>221786</v>
      </c>
      <c r="B41">
        <v>74030</v>
      </c>
      <c r="C41" t="s">
        <v>140</v>
      </c>
      <c r="D41">
        <v>36</v>
      </c>
      <c r="F41" t="s">
        <v>141</v>
      </c>
      <c r="H41" t="s">
        <v>32</v>
      </c>
      <c r="I41" t="s">
        <v>33</v>
      </c>
      <c r="J41" t="s">
        <v>91</v>
      </c>
      <c r="K41" t="s">
        <v>35</v>
      </c>
      <c r="L41" t="s">
        <v>36</v>
      </c>
      <c r="M41">
        <v>300</v>
      </c>
      <c r="N41" t="s">
        <v>37</v>
      </c>
      <c r="P41" s="1">
        <v>49461</v>
      </c>
      <c r="Q41" t="s">
        <v>62</v>
      </c>
      <c r="R41" t="s">
        <v>63</v>
      </c>
      <c r="S41" t="s">
        <v>49</v>
      </c>
      <c r="T41" s="1">
        <v>49461</v>
      </c>
      <c r="X41" t="s">
        <v>33</v>
      </c>
      <c r="Y41" t="s">
        <v>33</v>
      </c>
      <c r="Z41" t="s">
        <v>137</v>
      </c>
      <c r="AC41">
        <v>-78.724549999999994</v>
      </c>
      <c r="AD41">
        <v>43.869790000000002</v>
      </c>
    </row>
    <row r="42" spans="1:30" x14ac:dyDescent="0.25">
      <c r="A42">
        <v>221785</v>
      </c>
      <c r="B42">
        <v>74030</v>
      </c>
      <c r="C42" t="s">
        <v>142</v>
      </c>
      <c r="D42">
        <v>36</v>
      </c>
      <c r="F42" t="s">
        <v>143</v>
      </c>
      <c r="H42" t="s">
        <v>32</v>
      </c>
      <c r="I42" t="s">
        <v>33</v>
      </c>
      <c r="J42" t="s">
        <v>91</v>
      </c>
      <c r="K42" t="s">
        <v>35</v>
      </c>
      <c r="L42" t="s">
        <v>36</v>
      </c>
      <c r="M42">
        <v>300</v>
      </c>
      <c r="N42" t="s">
        <v>37</v>
      </c>
      <c r="P42" s="1">
        <v>49461</v>
      </c>
      <c r="Q42" t="s">
        <v>62</v>
      </c>
      <c r="R42" t="s">
        <v>63</v>
      </c>
      <c r="S42" t="s">
        <v>49</v>
      </c>
      <c r="T42" s="1">
        <v>49461</v>
      </c>
      <c r="X42" t="s">
        <v>33</v>
      </c>
      <c r="Y42" t="s">
        <v>33</v>
      </c>
      <c r="Z42" t="s">
        <v>137</v>
      </c>
      <c r="AC42">
        <v>-78.724549999999994</v>
      </c>
      <c r="AD42">
        <v>43.869790000000002</v>
      </c>
    </row>
    <row r="43" spans="1:30" x14ac:dyDescent="0.25">
      <c r="A43">
        <v>111266</v>
      </c>
      <c r="B43">
        <v>63167</v>
      </c>
      <c r="C43" t="s">
        <v>144</v>
      </c>
      <c r="D43">
        <v>27</v>
      </c>
      <c r="F43" t="s">
        <v>145</v>
      </c>
      <c r="H43" t="s">
        <v>114</v>
      </c>
      <c r="I43" t="s">
        <v>33</v>
      </c>
      <c r="J43" t="s">
        <v>115</v>
      </c>
      <c r="K43" t="s">
        <v>116</v>
      </c>
      <c r="L43" t="s">
        <v>117</v>
      </c>
      <c r="M43">
        <v>300</v>
      </c>
      <c r="N43" t="s">
        <v>49</v>
      </c>
      <c r="O43" t="s">
        <v>63</v>
      </c>
      <c r="P43" s="1">
        <v>50040</v>
      </c>
      <c r="Q43" t="s">
        <v>146</v>
      </c>
      <c r="R43" t="s">
        <v>147</v>
      </c>
      <c r="S43" t="s">
        <v>49</v>
      </c>
      <c r="T43" s="1">
        <v>47484</v>
      </c>
      <c r="X43" t="s">
        <v>33</v>
      </c>
      <c r="Y43" t="s">
        <v>33</v>
      </c>
      <c r="AA43" t="s">
        <v>148</v>
      </c>
      <c r="AC43">
        <v>-66.454490000000007</v>
      </c>
      <c r="AD43">
        <v>45.069789999999998</v>
      </c>
    </row>
    <row r="44" spans="1:30" x14ac:dyDescent="0.25">
      <c r="A44">
        <v>92504</v>
      </c>
      <c r="B44">
        <v>52453</v>
      </c>
      <c r="C44" t="s">
        <v>149</v>
      </c>
      <c r="D44">
        <v>36</v>
      </c>
      <c r="F44" t="s">
        <v>150</v>
      </c>
      <c r="H44" t="s">
        <v>32</v>
      </c>
      <c r="I44" t="s">
        <v>33</v>
      </c>
      <c r="J44" t="s">
        <v>151</v>
      </c>
      <c r="K44" t="s">
        <v>35</v>
      </c>
      <c r="L44" t="s">
        <v>36</v>
      </c>
      <c r="M44">
        <v>5</v>
      </c>
      <c r="N44" t="s">
        <v>49</v>
      </c>
      <c r="P44" s="1">
        <v>46905</v>
      </c>
      <c r="Q44" t="s">
        <v>62</v>
      </c>
      <c r="R44" t="s">
        <v>63</v>
      </c>
      <c r="S44" t="s">
        <v>49</v>
      </c>
      <c r="T44" s="1">
        <v>46905</v>
      </c>
      <c r="X44" t="s">
        <v>33</v>
      </c>
      <c r="Y44" t="s">
        <v>33</v>
      </c>
      <c r="Z44" t="s">
        <v>137</v>
      </c>
      <c r="AA44" t="s">
        <v>63</v>
      </c>
      <c r="AC44">
        <v>-77.364890000000003</v>
      </c>
      <c r="AD44">
        <v>46.047249999999998</v>
      </c>
    </row>
  </sheetData>
  <autoFilter ref="A1:AL1" xr:uid="{992A9648-E831-4776-9DA8-ADB3EB8E1D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1634-42EB-4367-9BF9-27A03F928EEB}">
  <dimension ref="A1:W18"/>
  <sheetViews>
    <sheetView workbookViewId="0">
      <selection activeCell="A3" sqref="A3"/>
    </sheetView>
  </sheetViews>
  <sheetFormatPr defaultRowHeight="15" x14ac:dyDescent="0.25"/>
  <cols>
    <col min="1" max="1" width="43.5703125" customWidth="1"/>
    <col min="2" max="2" width="13.7109375" customWidth="1"/>
    <col min="6" max="6" width="18.42578125" customWidth="1"/>
    <col min="8" max="8" width="19.85546875" customWidth="1"/>
    <col min="9" max="9" width="14.85546875" customWidth="1"/>
    <col min="10" max="10" width="24.140625" customWidth="1"/>
    <col min="12" max="12" width="15.85546875" customWidth="1"/>
    <col min="13" max="13" width="14.42578125" customWidth="1"/>
    <col min="17" max="23" width="12.5703125" customWidth="1"/>
  </cols>
  <sheetData>
    <row r="1" spans="1:23" s="3" customFormat="1" ht="45" customHeight="1" x14ac:dyDescent="0.25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  <c r="G1" s="3" t="s">
        <v>158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6</v>
      </c>
      <c r="M1" s="3" t="s">
        <v>163</v>
      </c>
      <c r="N1" s="3" t="s">
        <v>15</v>
      </c>
      <c r="O1" s="3" t="s">
        <v>24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168</v>
      </c>
      <c r="U1" s="3" t="s">
        <v>169</v>
      </c>
      <c r="V1" s="3" t="s">
        <v>170</v>
      </c>
      <c r="W1" s="3" t="s">
        <v>171</v>
      </c>
    </row>
    <row r="2" spans="1:23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>
        <v>2037</v>
      </c>
      <c r="H2" t="s">
        <v>178</v>
      </c>
      <c r="J2" t="s">
        <v>179</v>
      </c>
      <c r="K2" t="s">
        <v>33</v>
      </c>
      <c r="M2">
        <v>300</v>
      </c>
      <c r="N2" s="1">
        <v>50192</v>
      </c>
      <c r="O2" t="s">
        <v>180</v>
      </c>
      <c r="Q2" t="s">
        <v>181</v>
      </c>
      <c r="R2" t="s">
        <v>182</v>
      </c>
      <c r="S2" t="s">
        <v>183</v>
      </c>
      <c r="T2" s="1">
        <v>45642</v>
      </c>
      <c r="U2" t="s">
        <v>182</v>
      </c>
      <c r="V2" t="s">
        <v>183</v>
      </c>
      <c r="W2" s="1">
        <v>45642</v>
      </c>
    </row>
    <row r="3" spans="1:23" x14ac:dyDescent="0.25">
      <c r="A3" t="s">
        <v>172</v>
      </c>
      <c r="B3" t="s">
        <v>184</v>
      </c>
      <c r="C3" t="s">
        <v>185</v>
      </c>
      <c r="D3" t="s">
        <v>175</v>
      </c>
      <c r="E3" t="s">
        <v>176</v>
      </c>
      <c r="F3" t="s">
        <v>177</v>
      </c>
      <c r="G3">
        <v>2038</v>
      </c>
      <c r="H3" t="s">
        <v>178</v>
      </c>
      <c r="J3" t="s">
        <v>179</v>
      </c>
      <c r="K3" t="s">
        <v>33</v>
      </c>
      <c r="M3">
        <v>300</v>
      </c>
      <c r="N3" s="1">
        <v>50557</v>
      </c>
      <c r="O3" t="s">
        <v>180</v>
      </c>
      <c r="Q3" t="s">
        <v>181</v>
      </c>
      <c r="R3" t="s">
        <v>182</v>
      </c>
      <c r="S3" t="s">
        <v>183</v>
      </c>
      <c r="T3" s="1">
        <v>45642</v>
      </c>
      <c r="U3" t="s">
        <v>182</v>
      </c>
      <c r="V3" t="s">
        <v>183</v>
      </c>
      <c r="W3" s="1">
        <v>45642</v>
      </c>
    </row>
    <row r="4" spans="1:23" x14ac:dyDescent="0.25">
      <c r="A4" t="s">
        <v>186</v>
      </c>
      <c r="B4" t="s">
        <v>187</v>
      </c>
      <c r="C4" t="s">
        <v>188</v>
      </c>
      <c r="D4" t="s">
        <v>175</v>
      </c>
      <c r="E4" t="s">
        <v>176</v>
      </c>
      <c r="F4" t="s">
        <v>177</v>
      </c>
      <c r="G4">
        <v>2038</v>
      </c>
      <c r="H4" t="s">
        <v>178</v>
      </c>
      <c r="J4" t="s">
        <v>179</v>
      </c>
      <c r="K4" t="s">
        <v>33</v>
      </c>
      <c r="M4">
        <v>300</v>
      </c>
      <c r="N4" s="1">
        <v>50557</v>
      </c>
      <c r="O4" t="s">
        <v>180</v>
      </c>
      <c r="Q4" t="s">
        <v>189</v>
      </c>
      <c r="R4" t="s">
        <v>182</v>
      </c>
      <c r="S4" t="s">
        <v>183</v>
      </c>
      <c r="T4" s="1">
        <v>45642</v>
      </c>
      <c r="U4" t="s">
        <v>182</v>
      </c>
      <c r="V4" t="s">
        <v>183</v>
      </c>
      <c r="W4" s="1">
        <v>45642</v>
      </c>
    </row>
    <row r="5" spans="1:23" x14ac:dyDescent="0.25">
      <c r="A5" t="s">
        <v>172</v>
      </c>
      <c r="B5" t="s">
        <v>190</v>
      </c>
      <c r="C5" t="s">
        <v>191</v>
      </c>
      <c r="D5" t="s">
        <v>175</v>
      </c>
      <c r="E5" t="s">
        <v>176</v>
      </c>
      <c r="F5" t="s">
        <v>177</v>
      </c>
      <c r="G5">
        <v>2039</v>
      </c>
      <c r="H5" t="s">
        <v>178</v>
      </c>
      <c r="J5" t="s">
        <v>179</v>
      </c>
      <c r="K5" t="s">
        <v>33</v>
      </c>
      <c r="M5">
        <v>300</v>
      </c>
      <c r="N5" s="1">
        <v>50922</v>
      </c>
      <c r="O5" t="s">
        <v>180</v>
      </c>
      <c r="Q5" t="s">
        <v>181</v>
      </c>
      <c r="R5" t="s">
        <v>182</v>
      </c>
      <c r="S5" t="s">
        <v>183</v>
      </c>
      <c r="T5" s="1">
        <v>45642</v>
      </c>
      <c r="U5" t="s">
        <v>182</v>
      </c>
      <c r="V5" t="s">
        <v>183</v>
      </c>
      <c r="W5" s="1">
        <v>45642</v>
      </c>
    </row>
    <row r="6" spans="1:23" x14ac:dyDescent="0.25">
      <c r="A6" t="s">
        <v>186</v>
      </c>
      <c r="B6" t="s">
        <v>192</v>
      </c>
      <c r="C6" t="s">
        <v>193</v>
      </c>
      <c r="D6" t="s">
        <v>175</v>
      </c>
      <c r="E6" t="s">
        <v>176</v>
      </c>
      <c r="F6" t="s">
        <v>177</v>
      </c>
      <c r="G6">
        <v>2039</v>
      </c>
      <c r="H6" t="s">
        <v>178</v>
      </c>
      <c r="J6" t="s">
        <v>179</v>
      </c>
      <c r="K6" t="s">
        <v>33</v>
      </c>
      <c r="M6">
        <v>300</v>
      </c>
      <c r="N6" s="1">
        <v>50922</v>
      </c>
      <c r="O6" t="s">
        <v>180</v>
      </c>
      <c r="Q6" t="s">
        <v>189</v>
      </c>
      <c r="R6" t="s">
        <v>182</v>
      </c>
      <c r="S6" t="s">
        <v>183</v>
      </c>
      <c r="T6" s="1">
        <v>45642</v>
      </c>
      <c r="U6" t="s">
        <v>182</v>
      </c>
      <c r="V6" t="s">
        <v>183</v>
      </c>
      <c r="W6" s="1">
        <v>45642</v>
      </c>
    </row>
    <row r="7" spans="1:23" x14ac:dyDescent="0.25">
      <c r="A7" t="s">
        <v>172</v>
      </c>
      <c r="B7" t="s">
        <v>194</v>
      </c>
      <c r="C7" t="s">
        <v>195</v>
      </c>
      <c r="D7" t="s">
        <v>175</v>
      </c>
      <c r="E7" t="s">
        <v>176</v>
      </c>
      <c r="F7" t="s">
        <v>177</v>
      </c>
      <c r="G7">
        <v>2040</v>
      </c>
      <c r="H7" t="s">
        <v>178</v>
      </c>
      <c r="J7" t="s">
        <v>179</v>
      </c>
      <c r="K7" t="s">
        <v>33</v>
      </c>
      <c r="M7">
        <v>300</v>
      </c>
      <c r="N7" s="1">
        <v>51288</v>
      </c>
      <c r="O7" t="s">
        <v>180</v>
      </c>
      <c r="Q7" t="s">
        <v>181</v>
      </c>
      <c r="R7" t="s">
        <v>182</v>
      </c>
      <c r="S7" t="s">
        <v>183</v>
      </c>
      <c r="T7" s="1">
        <v>45642</v>
      </c>
      <c r="U7" t="s">
        <v>182</v>
      </c>
      <c r="V7" t="s">
        <v>183</v>
      </c>
      <c r="W7" s="1">
        <v>45642</v>
      </c>
    </row>
    <row r="8" spans="1:23" x14ac:dyDescent="0.25">
      <c r="A8" t="s">
        <v>186</v>
      </c>
      <c r="B8" t="s">
        <v>196</v>
      </c>
      <c r="C8" t="s">
        <v>197</v>
      </c>
      <c r="D8" t="s">
        <v>175</v>
      </c>
      <c r="E8" t="s">
        <v>176</v>
      </c>
      <c r="F8" t="s">
        <v>177</v>
      </c>
      <c r="G8">
        <v>2040</v>
      </c>
      <c r="H8" t="s">
        <v>178</v>
      </c>
      <c r="J8" t="s">
        <v>179</v>
      </c>
      <c r="K8" t="s">
        <v>33</v>
      </c>
      <c r="M8">
        <v>300</v>
      </c>
      <c r="N8" s="1">
        <v>51288</v>
      </c>
      <c r="O8" t="s">
        <v>180</v>
      </c>
      <c r="Q8" t="s">
        <v>189</v>
      </c>
      <c r="R8" t="s">
        <v>182</v>
      </c>
      <c r="S8" t="s">
        <v>183</v>
      </c>
      <c r="T8" s="1">
        <v>45642</v>
      </c>
      <c r="U8" t="s">
        <v>182</v>
      </c>
      <c r="V8" t="s">
        <v>183</v>
      </c>
      <c r="W8" s="1">
        <v>45642</v>
      </c>
    </row>
    <row r="9" spans="1:23" x14ac:dyDescent="0.25">
      <c r="A9" t="s">
        <v>198</v>
      </c>
      <c r="B9" t="s">
        <v>199</v>
      </c>
      <c r="C9" t="s">
        <v>200</v>
      </c>
      <c r="D9" t="s">
        <v>175</v>
      </c>
      <c r="E9" t="s">
        <v>176</v>
      </c>
      <c r="F9" t="s">
        <v>201</v>
      </c>
      <c r="G9">
        <v>2040</v>
      </c>
      <c r="H9" t="s">
        <v>35</v>
      </c>
      <c r="J9" t="s">
        <v>202</v>
      </c>
      <c r="K9" t="s">
        <v>33</v>
      </c>
      <c r="M9">
        <v>1000</v>
      </c>
      <c r="N9" s="1">
        <v>51288</v>
      </c>
      <c r="O9" t="s">
        <v>33</v>
      </c>
      <c r="Q9" t="s">
        <v>203</v>
      </c>
      <c r="R9" t="s">
        <v>182</v>
      </c>
      <c r="S9" t="s">
        <v>183</v>
      </c>
      <c r="T9" s="1">
        <v>45639</v>
      </c>
      <c r="U9" t="s">
        <v>182</v>
      </c>
      <c r="V9" t="s">
        <v>183</v>
      </c>
      <c r="W9" s="1">
        <v>45639</v>
      </c>
    </row>
    <row r="10" spans="1:23" x14ac:dyDescent="0.25">
      <c r="A10" t="s">
        <v>204</v>
      </c>
      <c r="B10" t="s">
        <v>205</v>
      </c>
      <c r="C10" t="s">
        <v>206</v>
      </c>
      <c r="D10" t="s">
        <v>175</v>
      </c>
      <c r="E10" t="s">
        <v>176</v>
      </c>
      <c r="F10" t="s">
        <v>201</v>
      </c>
      <c r="G10">
        <v>2041</v>
      </c>
      <c r="H10" t="s">
        <v>35</v>
      </c>
      <c r="J10" t="s">
        <v>202</v>
      </c>
      <c r="K10" t="s">
        <v>33</v>
      </c>
      <c r="M10">
        <v>1000</v>
      </c>
      <c r="N10" s="1">
        <v>51653</v>
      </c>
      <c r="O10" t="s">
        <v>33</v>
      </c>
      <c r="Q10" t="s">
        <v>203</v>
      </c>
      <c r="R10" t="s">
        <v>182</v>
      </c>
      <c r="S10" t="s">
        <v>183</v>
      </c>
      <c r="T10" s="1">
        <v>45639</v>
      </c>
      <c r="U10" t="s">
        <v>182</v>
      </c>
      <c r="V10" t="s">
        <v>183</v>
      </c>
      <c r="W10" s="1">
        <v>45639</v>
      </c>
    </row>
    <row r="11" spans="1:23" x14ac:dyDescent="0.25">
      <c r="A11" t="s">
        <v>207</v>
      </c>
      <c r="B11" t="s">
        <v>208</v>
      </c>
      <c r="C11" t="s">
        <v>209</v>
      </c>
      <c r="D11" t="s">
        <v>175</v>
      </c>
      <c r="E11" t="s">
        <v>176</v>
      </c>
      <c r="F11" t="s">
        <v>201</v>
      </c>
      <c r="G11">
        <v>2042</v>
      </c>
      <c r="H11" t="s">
        <v>35</v>
      </c>
      <c r="J11" t="s">
        <v>202</v>
      </c>
      <c r="K11" t="s">
        <v>33</v>
      </c>
      <c r="M11">
        <v>1000</v>
      </c>
      <c r="N11" s="1">
        <v>52018</v>
      </c>
      <c r="O11" t="s">
        <v>33</v>
      </c>
      <c r="Q11" t="s">
        <v>203</v>
      </c>
      <c r="R11" t="s">
        <v>182</v>
      </c>
      <c r="S11" t="s">
        <v>183</v>
      </c>
      <c r="T11" s="1">
        <v>45639</v>
      </c>
      <c r="U11" t="s">
        <v>182</v>
      </c>
      <c r="V11" t="s">
        <v>183</v>
      </c>
      <c r="W11" s="1">
        <v>45639</v>
      </c>
    </row>
    <row r="12" spans="1:23" x14ac:dyDescent="0.25">
      <c r="A12" t="s">
        <v>210</v>
      </c>
      <c r="B12" t="s">
        <v>211</v>
      </c>
      <c r="C12" t="s">
        <v>212</v>
      </c>
      <c r="D12" t="s">
        <v>175</v>
      </c>
      <c r="E12" t="s">
        <v>176</v>
      </c>
      <c r="F12" t="s">
        <v>213</v>
      </c>
      <c r="G12">
        <v>2043</v>
      </c>
      <c r="H12" t="s">
        <v>35</v>
      </c>
      <c r="I12" t="s">
        <v>214</v>
      </c>
      <c r="J12" t="s">
        <v>215</v>
      </c>
      <c r="K12" t="s">
        <v>33</v>
      </c>
      <c r="M12">
        <v>1100</v>
      </c>
      <c r="N12" s="1">
        <v>52383</v>
      </c>
      <c r="O12" t="s">
        <v>33</v>
      </c>
      <c r="Q12" t="s">
        <v>216</v>
      </c>
      <c r="R12" t="s">
        <v>182</v>
      </c>
      <c r="S12" t="s">
        <v>183</v>
      </c>
      <c r="T12" s="1">
        <v>45881</v>
      </c>
      <c r="U12" t="s">
        <v>182</v>
      </c>
      <c r="V12" t="s">
        <v>183</v>
      </c>
      <c r="W12" s="1">
        <v>45971</v>
      </c>
    </row>
    <row r="13" spans="1:23" x14ac:dyDescent="0.25">
      <c r="A13" t="s">
        <v>217</v>
      </c>
      <c r="B13" t="s">
        <v>218</v>
      </c>
      <c r="C13" t="s">
        <v>219</v>
      </c>
      <c r="D13" t="s">
        <v>175</v>
      </c>
      <c r="E13" t="s">
        <v>176</v>
      </c>
      <c r="F13" t="s">
        <v>201</v>
      </c>
      <c r="G13">
        <v>2043</v>
      </c>
      <c r="H13" t="s">
        <v>35</v>
      </c>
      <c r="J13" t="s">
        <v>202</v>
      </c>
      <c r="K13" t="s">
        <v>33</v>
      </c>
      <c r="M13">
        <v>1000</v>
      </c>
      <c r="N13" s="1">
        <v>52383</v>
      </c>
      <c r="O13" t="s">
        <v>33</v>
      </c>
      <c r="Q13" t="s">
        <v>203</v>
      </c>
      <c r="R13" t="s">
        <v>182</v>
      </c>
      <c r="S13" t="s">
        <v>183</v>
      </c>
      <c r="T13" s="1">
        <v>45639</v>
      </c>
      <c r="U13" t="s">
        <v>182</v>
      </c>
      <c r="V13" t="s">
        <v>183</v>
      </c>
      <c r="W13" s="1">
        <v>45639</v>
      </c>
    </row>
    <row r="14" spans="1:23" x14ac:dyDescent="0.25">
      <c r="A14" t="s">
        <v>220</v>
      </c>
      <c r="B14" t="s">
        <v>221</v>
      </c>
      <c r="C14" t="s">
        <v>222</v>
      </c>
      <c r="D14" t="s">
        <v>175</v>
      </c>
      <c r="E14" t="s">
        <v>176</v>
      </c>
      <c r="F14" t="s">
        <v>213</v>
      </c>
      <c r="G14">
        <v>2044</v>
      </c>
      <c r="H14" t="s">
        <v>35</v>
      </c>
      <c r="I14" t="s">
        <v>214</v>
      </c>
      <c r="J14" t="s">
        <v>215</v>
      </c>
      <c r="K14" t="s">
        <v>33</v>
      </c>
      <c r="M14">
        <v>1100</v>
      </c>
      <c r="N14" s="1">
        <v>52749</v>
      </c>
      <c r="O14" t="s">
        <v>33</v>
      </c>
      <c r="Q14" t="s">
        <v>216</v>
      </c>
      <c r="R14" t="s">
        <v>182</v>
      </c>
      <c r="S14" t="s">
        <v>183</v>
      </c>
      <c r="T14" s="1">
        <v>45881</v>
      </c>
      <c r="U14" t="s">
        <v>182</v>
      </c>
      <c r="V14" t="s">
        <v>183</v>
      </c>
      <c r="W14" s="1">
        <v>45971</v>
      </c>
    </row>
    <row r="15" spans="1:23" x14ac:dyDescent="0.25">
      <c r="A15" t="s">
        <v>223</v>
      </c>
      <c r="B15" t="s">
        <v>224</v>
      </c>
      <c r="C15" t="s">
        <v>225</v>
      </c>
      <c r="D15" t="s">
        <v>175</v>
      </c>
      <c r="E15" t="s">
        <v>176</v>
      </c>
      <c r="F15" t="s">
        <v>213</v>
      </c>
      <c r="G15">
        <v>2044</v>
      </c>
      <c r="H15" t="s">
        <v>35</v>
      </c>
      <c r="I15" t="s">
        <v>61</v>
      </c>
      <c r="J15" t="s">
        <v>226</v>
      </c>
      <c r="K15" t="s">
        <v>33</v>
      </c>
      <c r="M15">
        <v>1100</v>
      </c>
      <c r="N15" s="1">
        <v>52749</v>
      </c>
      <c r="O15" t="s">
        <v>33</v>
      </c>
      <c r="Q15" t="s">
        <v>227</v>
      </c>
      <c r="R15" t="s">
        <v>182</v>
      </c>
      <c r="S15" t="s">
        <v>183</v>
      </c>
      <c r="T15" s="1">
        <v>45881</v>
      </c>
      <c r="U15" t="s">
        <v>182</v>
      </c>
      <c r="V15" t="s">
        <v>183</v>
      </c>
      <c r="W15" s="1">
        <v>45971</v>
      </c>
    </row>
    <row r="16" spans="1:23" x14ac:dyDescent="0.25">
      <c r="A16" t="s">
        <v>228</v>
      </c>
      <c r="B16" t="s">
        <v>229</v>
      </c>
      <c r="C16" t="s">
        <v>230</v>
      </c>
      <c r="D16" t="s">
        <v>175</v>
      </c>
      <c r="E16" t="s">
        <v>176</v>
      </c>
      <c r="F16" t="s">
        <v>213</v>
      </c>
      <c r="G16">
        <v>2045</v>
      </c>
      <c r="H16" t="s">
        <v>35</v>
      </c>
      <c r="I16" t="s">
        <v>61</v>
      </c>
      <c r="J16" t="s">
        <v>226</v>
      </c>
      <c r="K16" t="s">
        <v>33</v>
      </c>
      <c r="M16">
        <v>1100</v>
      </c>
      <c r="N16" s="1">
        <v>53114</v>
      </c>
      <c r="O16" t="s">
        <v>33</v>
      </c>
      <c r="Q16" t="s">
        <v>227</v>
      </c>
      <c r="R16" t="s">
        <v>182</v>
      </c>
      <c r="S16" t="s">
        <v>183</v>
      </c>
      <c r="T16" s="1">
        <v>45881</v>
      </c>
      <c r="U16" t="s">
        <v>182</v>
      </c>
      <c r="V16" t="s">
        <v>183</v>
      </c>
      <c r="W16" s="1">
        <v>45971</v>
      </c>
    </row>
    <row r="17" spans="1:23" x14ac:dyDescent="0.25">
      <c r="A17" t="s">
        <v>231</v>
      </c>
      <c r="B17" t="s">
        <v>232</v>
      </c>
      <c r="C17" t="s">
        <v>233</v>
      </c>
      <c r="D17" t="s">
        <v>175</v>
      </c>
      <c r="E17" t="s">
        <v>176</v>
      </c>
      <c r="F17" t="s">
        <v>213</v>
      </c>
      <c r="G17">
        <v>2046</v>
      </c>
      <c r="H17" t="s">
        <v>35</v>
      </c>
      <c r="I17" t="s">
        <v>61</v>
      </c>
      <c r="J17" t="s">
        <v>226</v>
      </c>
      <c r="K17" t="s">
        <v>33</v>
      </c>
      <c r="M17">
        <v>1100</v>
      </c>
      <c r="N17" s="1">
        <v>53479</v>
      </c>
      <c r="O17" t="s">
        <v>33</v>
      </c>
      <c r="Q17" t="s">
        <v>227</v>
      </c>
      <c r="R17" t="s">
        <v>182</v>
      </c>
      <c r="S17" t="s">
        <v>183</v>
      </c>
      <c r="T17" s="1">
        <v>45881</v>
      </c>
      <c r="U17" t="s">
        <v>182</v>
      </c>
      <c r="V17" t="s">
        <v>183</v>
      </c>
      <c r="W17" s="1">
        <v>45971</v>
      </c>
    </row>
    <row r="18" spans="1:23" x14ac:dyDescent="0.25">
      <c r="A18" t="s">
        <v>234</v>
      </c>
      <c r="B18" t="s">
        <v>235</v>
      </c>
      <c r="C18" t="s">
        <v>236</v>
      </c>
      <c r="D18" t="s">
        <v>175</v>
      </c>
      <c r="E18" t="s">
        <v>176</v>
      </c>
      <c r="F18" t="s">
        <v>213</v>
      </c>
      <c r="G18">
        <v>2047</v>
      </c>
      <c r="H18" t="s">
        <v>35</v>
      </c>
      <c r="I18" t="s">
        <v>61</v>
      </c>
      <c r="J18" t="s">
        <v>226</v>
      </c>
      <c r="K18" t="s">
        <v>33</v>
      </c>
      <c r="M18">
        <v>1100</v>
      </c>
      <c r="N18" s="1">
        <v>53844</v>
      </c>
      <c r="O18" t="s">
        <v>33</v>
      </c>
      <c r="Q18" t="s">
        <v>227</v>
      </c>
      <c r="R18" t="s">
        <v>182</v>
      </c>
      <c r="S18" t="s">
        <v>183</v>
      </c>
      <c r="T18" s="1">
        <v>45881</v>
      </c>
      <c r="U18" t="s">
        <v>182</v>
      </c>
      <c r="V18" t="s">
        <v>183</v>
      </c>
      <c r="W18" s="1">
        <v>45971</v>
      </c>
    </row>
  </sheetData>
  <autoFilter ref="A1:AG1" xr:uid="{78C41634-42EB-4367-9BF9-27A03F928E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1077-E6F5-4CF2-9B9C-5EEEB4A40DB6}">
  <dimension ref="A1:R9"/>
  <sheetViews>
    <sheetView workbookViewId="0">
      <selection activeCell="D23" sqref="D23"/>
    </sheetView>
  </sheetViews>
  <sheetFormatPr defaultColWidth="15.7109375" defaultRowHeight="15" x14ac:dyDescent="0.25"/>
  <cols>
    <col min="6" max="6" width="15.7109375" style="6"/>
    <col min="8" max="9" width="15.7109375" style="6"/>
  </cols>
  <sheetData>
    <row r="1" spans="1:18" s="3" customFormat="1" ht="45.75" customHeight="1" x14ac:dyDescent="0.25">
      <c r="A1" s="3" t="s">
        <v>0</v>
      </c>
      <c r="B1" s="3" t="s">
        <v>1</v>
      </c>
      <c r="C1" s="3" t="s">
        <v>237</v>
      </c>
      <c r="D1" s="3" t="s">
        <v>152</v>
      </c>
      <c r="E1" s="3" t="s">
        <v>8</v>
      </c>
      <c r="F1" s="3" t="s">
        <v>282</v>
      </c>
      <c r="G1" s="3" t="s">
        <v>238</v>
      </c>
      <c r="H1" s="3" t="s">
        <v>239</v>
      </c>
      <c r="I1" s="3" t="s">
        <v>283</v>
      </c>
      <c r="J1" s="3" t="s">
        <v>240</v>
      </c>
      <c r="K1" s="3" t="s">
        <v>241</v>
      </c>
      <c r="L1" s="3" t="s">
        <v>242</v>
      </c>
      <c r="M1" s="3" t="s">
        <v>156</v>
      </c>
      <c r="N1" s="3" t="s">
        <v>243</v>
      </c>
      <c r="O1" s="3" t="s">
        <v>168</v>
      </c>
      <c r="P1" s="3" t="s">
        <v>167</v>
      </c>
      <c r="Q1" s="3" t="s">
        <v>171</v>
      </c>
      <c r="R1" s="3" t="s">
        <v>170</v>
      </c>
    </row>
    <row r="2" spans="1:18" x14ac:dyDescent="0.25">
      <c r="A2">
        <v>22334</v>
      </c>
      <c r="B2">
        <v>1982</v>
      </c>
      <c r="C2" t="s">
        <v>244</v>
      </c>
      <c r="D2" t="s">
        <v>58</v>
      </c>
      <c r="E2" t="s">
        <v>33</v>
      </c>
      <c r="F2" s="6">
        <v>805</v>
      </c>
      <c r="G2" t="s">
        <v>245</v>
      </c>
      <c r="H2" s="6">
        <v>75</v>
      </c>
      <c r="I2" s="6">
        <f>F2+H2</f>
        <v>880</v>
      </c>
      <c r="J2" t="s">
        <v>246</v>
      </c>
      <c r="K2" t="s">
        <v>247</v>
      </c>
      <c r="L2" s="1">
        <v>47635</v>
      </c>
      <c r="M2" t="s">
        <v>248</v>
      </c>
      <c r="N2" t="s">
        <v>249</v>
      </c>
      <c r="O2" s="1">
        <v>45779</v>
      </c>
      <c r="P2" t="s">
        <v>183</v>
      </c>
      <c r="Q2" s="1">
        <v>45939</v>
      </c>
      <c r="R2" t="s">
        <v>250</v>
      </c>
    </row>
    <row r="3" spans="1:18" x14ac:dyDescent="0.25">
      <c r="A3">
        <v>28828</v>
      </c>
      <c r="B3">
        <v>1982</v>
      </c>
      <c r="C3" t="s">
        <v>244</v>
      </c>
      <c r="D3" t="s">
        <v>54</v>
      </c>
      <c r="E3" t="s">
        <v>33</v>
      </c>
      <c r="F3" s="6">
        <v>805</v>
      </c>
      <c r="G3" t="s">
        <v>245</v>
      </c>
      <c r="H3" s="6">
        <v>75</v>
      </c>
      <c r="I3" s="6">
        <f t="shared" ref="I3:I9" si="0">F3+H3</f>
        <v>880</v>
      </c>
      <c r="J3" t="s">
        <v>246</v>
      </c>
      <c r="K3" t="s">
        <v>247</v>
      </c>
      <c r="L3" s="1">
        <v>47635</v>
      </c>
      <c r="M3" t="s">
        <v>248</v>
      </c>
      <c r="N3" t="s">
        <v>249</v>
      </c>
      <c r="O3" s="1">
        <v>45779</v>
      </c>
      <c r="P3" t="s">
        <v>183</v>
      </c>
      <c r="Q3" s="1">
        <v>45939</v>
      </c>
      <c r="R3" t="s">
        <v>250</v>
      </c>
    </row>
    <row r="4" spans="1:18" x14ac:dyDescent="0.25">
      <c r="A4">
        <v>28829</v>
      </c>
      <c r="B4">
        <v>1982</v>
      </c>
      <c r="C4" t="s">
        <v>244</v>
      </c>
      <c r="D4" t="s">
        <v>56</v>
      </c>
      <c r="E4" t="s">
        <v>33</v>
      </c>
      <c r="F4" s="6">
        <v>805</v>
      </c>
      <c r="G4" t="s">
        <v>245</v>
      </c>
      <c r="H4" s="6">
        <v>75</v>
      </c>
      <c r="I4" s="6">
        <f t="shared" si="0"/>
        <v>880</v>
      </c>
      <c r="J4" t="s">
        <v>246</v>
      </c>
      <c r="K4" t="s">
        <v>247</v>
      </c>
      <c r="L4" s="1">
        <v>47635</v>
      </c>
      <c r="M4" t="s">
        <v>248</v>
      </c>
      <c r="N4" t="s">
        <v>249</v>
      </c>
      <c r="O4" s="1">
        <v>45779</v>
      </c>
      <c r="P4" t="s">
        <v>183</v>
      </c>
      <c r="Q4" s="1">
        <v>45939</v>
      </c>
      <c r="R4" t="s">
        <v>250</v>
      </c>
    </row>
    <row r="5" spans="1:18" x14ac:dyDescent="0.25">
      <c r="A5">
        <v>28830</v>
      </c>
      <c r="B5">
        <v>1982</v>
      </c>
      <c r="C5" t="s">
        <v>244</v>
      </c>
      <c r="D5" t="s">
        <v>47</v>
      </c>
      <c r="E5" t="s">
        <v>33</v>
      </c>
      <c r="F5" s="6">
        <v>805</v>
      </c>
      <c r="G5" t="s">
        <v>245</v>
      </c>
      <c r="H5" s="6">
        <v>75</v>
      </c>
      <c r="I5" s="6">
        <f t="shared" si="0"/>
        <v>880</v>
      </c>
      <c r="J5" t="s">
        <v>246</v>
      </c>
      <c r="K5" t="s">
        <v>247</v>
      </c>
      <c r="L5" s="1">
        <v>58593</v>
      </c>
      <c r="M5" t="s">
        <v>248</v>
      </c>
      <c r="N5" t="s">
        <v>249</v>
      </c>
      <c r="O5" s="1">
        <v>45779</v>
      </c>
      <c r="P5" t="s">
        <v>183</v>
      </c>
      <c r="Q5" s="1">
        <v>45939</v>
      </c>
      <c r="R5" t="s">
        <v>250</v>
      </c>
    </row>
    <row r="6" spans="1:18" x14ac:dyDescent="0.25">
      <c r="A6">
        <v>22335</v>
      </c>
      <c r="B6">
        <v>1983</v>
      </c>
      <c r="C6" t="s">
        <v>251</v>
      </c>
      <c r="D6" t="s">
        <v>106</v>
      </c>
      <c r="E6" t="s">
        <v>33</v>
      </c>
      <c r="F6" s="6">
        <v>840</v>
      </c>
      <c r="G6" t="s">
        <v>245</v>
      </c>
      <c r="H6" s="6">
        <v>75</v>
      </c>
      <c r="I6" s="6">
        <f t="shared" si="0"/>
        <v>915</v>
      </c>
      <c r="J6" t="s">
        <v>246</v>
      </c>
      <c r="K6" t="s">
        <v>247</v>
      </c>
      <c r="L6" s="1">
        <v>47635</v>
      </c>
      <c r="M6" t="s">
        <v>248</v>
      </c>
      <c r="N6" t="s">
        <v>249</v>
      </c>
      <c r="O6" s="1">
        <v>45779</v>
      </c>
      <c r="P6" t="s">
        <v>183</v>
      </c>
      <c r="Q6" s="1">
        <v>45939</v>
      </c>
      <c r="R6" t="s">
        <v>250</v>
      </c>
    </row>
    <row r="7" spans="1:18" x14ac:dyDescent="0.25">
      <c r="A7">
        <v>28824</v>
      </c>
      <c r="B7">
        <v>1983</v>
      </c>
      <c r="C7" t="s">
        <v>251</v>
      </c>
      <c r="D7" t="s">
        <v>107</v>
      </c>
      <c r="E7" t="s">
        <v>33</v>
      </c>
      <c r="F7" s="6">
        <v>840</v>
      </c>
      <c r="G7" t="s">
        <v>245</v>
      </c>
      <c r="H7" s="6">
        <v>75</v>
      </c>
      <c r="I7" s="6">
        <f t="shared" si="0"/>
        <v>915</v>
      </c>
      <c r="J7" t="s">
        <v>246</v>
      </c>
      <c r="K7" t="s">
        <v>247</v>
      </c>
      <c r="L7" s="1">
        <v>47635</v>
      </c>
      <c r="M7" t="s">
        <v>248</v>
      </c>
      <c r="N7" t="s">
        <v>249</v>
      </c>
      <c r="O7" s="1">
        <v>45779</v>
      </c>
      <c r="P7" t="s">
        <v>183</v>
      </c>
      <c r="Q7" s="1">
        <v>45939</v>
      </c>
      <c r="R7" t="s">
        <v>250</v>
      </c>
    </row>
    <row r="8" spans="1:18" x14ac:dyDescent="0.25">
      <c r="A8">
        <v>28825</v>
      </c>
      <c r="B8">
        <v>1983</v>
      </c>
      <c r="C8" t="s">
        <v>251</v>
      </c>
      <c r="D8" t="s">
        <v>101</v>
      </c>
      <c r="E8" t="s">
        <v>33</v>
      </c>
      <c r="F8" s="6">
        <v>870</v>
      </c>
      <c r="G8" t="s">
        <v>245</v>
      </c>
      <c r="H8" s="6">
        <v>75</v>
      </c>
      <c r="I8" s="6">
        <f t="shared" si="0"/>
        <v>945</v>
      </c>
      <c r="J8" t="s">
        <v>246</v>
      </c>
      <c r="K8" t="s">
        <v>247</v>
      </c>
      <c r="L8" s="1">
        <v>47635</v>
      </c>
      <c r="M8" t="s">
        <v>248</v>
      </c>
      <c r="N8" t="s">
        <v>249</v>
      </c>
      <c r="O8" s="1">
        <v>45779</v>
      </c>
      <c r="P8" t="s">
        <v>183</v>
      </c>
      <c r="Q8" s="1">
        <v>45939</v>
      </c>
      <c r="R8" t="s">
        <v>250</v>
      </c>
    </row>
    <row r="9" spans="1:18" x14ac:dyDescent="0.25">
      <c r="A9">
        <v>28826</v>
      </c>
      <c r="B9">
        <v>1983</v>
      </c>
      <c r="C9" t="s">
        <v>251</v>
      </c>
      <c r="D9" t="s">
        <v>108</v>
      </c>
      <c r="E9" t="s">
        <v>33</v>
      </c>
      <c r="F9" s="6">
        <v>840</v>
      </c>
      <c r="G9" t="s">
        <v>245</v>
      </c>
      <c r="H9" s="6">
        <v>75</v>
      </c>
      <c r="I9" s="6">
        <f t="shared" si="0"/>
        <v>915</v>
      </c>
      <c r="J9" t="s">
        <v>246</v>
      </c>
      <c r="K9" t="s">
        <v>247</v>
      </c>
      <c r="L9" s="1">
        <v>47635</v>
      </c>
      <c r="M9" t="s">
        <v>248</v>
      </c>
      <c r="N9" t="s">
        <v>249</v>
      </c>
      <c r="O9" s="1">
        <v>45779</v>
      </c>
      <c r="P9" t="s">
        <v>183</v>
      </c>
      <c r="Q9" s="1">
        <v>45939</v>
      </c>
      <c r="R9" t="s">
        <v>250</v>
      </c>
    </row>
  </sheetData>
  <autoFilter ref="A1:U1" xr:uid="{0B571077-E6F5-4CF2-9B9C-5EEEB4A40DB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29DE-3924-47D3-AF72-EA8F7F443613}">
  <dimension ref="A3:B2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30.7109375" bestFit="1" customWidth="1"/>
    <col min="3" max="26" width="5" bestFit="1" customWidth="1"/>
    <col min="27" max="27" width="11.28515625" bestFit="1" customWidth="1"/>
    <col min="28" max="32" width="8.42578125" bestFit="1" customWidth="1"/>
    <col min="33" max="33" width="11.28515625" bestFit="1" customWidth="1"/>
  </cols>
  <sheetData>
    <row r="3" spans="1:2" x14ac:dyDescent="0.25">
      <c r="A3" s="5" t="s">
        <v>285</v>
      </c>
      <c r="B3" t="s">
        <v>255</v>
      </c>
    </row>
    <row r="4" spans="1:2" x14ac:dyDescent="0.25">
      <c r="A4" s="7" t="s">
        <v>257</v>
      </c>
      <c r="B4" s="4">
        <v>1610</v>
      </c>
    </row>
    <row r="5" spans="1:2" x14ac:dyDescent="0.25">
      <c r="A5" s="7" t="s">
        <v>258</v>
      </c>
      <c r="B5" s="4">
        <v>805</v>
      </c>
    </row>
    <row r="6" spans="1:2" x14ac:dyDescent="0.25">
      <c r="A6" s="7" t="s">
        <v>259</v>
      </c>
      <c r="B6" s="4">
        <v>805</v>
      </c>
    </row>
    <row r="7" spans="1:2" x14ac:dyDescent="0.25">
      <c r="A7" s="7" t="s">
        <v>260</v>
      </c>
      <c r="B7" s="4">
        <v>1992</v>
      </c>
    </row>
    <row r="8" spans="1:2" x14ac:dyDescent="0.25">
      <c r="A8" s="7" t="s">
        <v>261</v>
      </c>
      <c r="B8" s="4">
        <v>1387</v>
      </c>
    </row>
    <row r="9" spans="1:2" x14ac:dyDescent="0.25">
      <c r="A9" s="7" t="s">
        <v>262</v>
      </c>
      <c r="B9" s="4">
        <v>1357</v>
      </c>
    </row>
    <row r="10" spans="1:2" x14ac:dyDescent="0.25">
      <c r="A10" s="7" t="s">
        <v>263</v>
      </c>
      <c r="B10" s="4">
        <v>1357</v>
      </c>
    </row>
    <row r="11" spans="1:2" x14ac:dyDescent="0.25">
      <c r="A11" s="7" t="s">
        <v>264</v>
      </c>
      <c r="B11" s="4">
        <v>934</v>
      </c>
    </row>
    <row r="12" spans="1:2" x14ac:dyDescent="0.25">
      <c r="A12" s="7" t="s">
        <v>265</v>
      </c>
      <c r="B12" s="4">
        <v>1868</v>
      </c>
    </row>
    <row r="13" spans="1:2" x14ac:dyDescent="0.25">
      <c r="A13" s="7" t="s">
        <v>266</v>
      </c>
      <c r="B13" s="4">
        <v>934</v>
      </c>
    </row>
    <row r="14" spans="1:2" x14ac:dyDescent="0.25">
      <c r="A14" s="7" t="s">
        <v>267</v>
      </c>
      <c r="B14" s="4">
        <v>5</v>
      </c>
    </row>
    <row r="15" spans="1:2" x14ac:dyDescent="0.25">
      <c r="A15" s="7" t="s">
        <v>268</v>
      </c>
      <c r="B15" s="4">
        <v>600</v>
      </c>
    </row>
    <row r="16" spans="1:2" x14ac:dyDescent="0.25">
      <c r="A16" s="7" t="s">
        <v>269</v>
      </c>
      <c r="B16" s="4">
        <v>315</v>
      </c>
    </row>
    <row r="17" spans="1:2" x14ac:dyDescent="0.25">
      <c r="A17" s="7" t="s">
        <v>270</v>
      </c>
      <c r="B17" s="4">
        <v>3100</v>
      </c>
    </row>
    <row r="18" spans="1:2" x14ac:dyDescent="0.25">
      <c r="A18" s="7" t="s">
        <v>271</v>
      </c>
      <c r="B18" s="4">
        <v>300</v>
      </c>
    </row>
    <row r="19" spans="1:2" x14ac:dyDescent="0.25">
      <c r="A19" s="7" t="s">
        <v>272</v>
      </c>
      <c r="B19" s="4">
        <v>2300</v>
      </c>
    </row>
    <row r="20" spans="1:2" x14ac:dyDescent="0.25">
      <c r="A20" s="7" t="s">
        <v>273</v>
      </c>
      <c r="B20" s="4">
        <v>1200</v>
      </c>
    </row>
    <row r="21" spans="1:2" x14ac:dyDescent="0.25">
      <c r="A21" s="7" t="s">
        <v>274</v>
      </c>
      <c r="B21" s="4">
        <v>3240</v>
      </c>
    </row>
    <row r="22" spans="1:2" x14ac:dyDescent="0.25">
      <c r="A22" s="7" t="s">
        <v>275</v>
      </c>
      <c r="B22" s="4">
        <v>3490</v>
      </c>
    </row>
    <row r="23" spans="1:2" x14ac:dyDescent="0.25">
      <c r="A23" s="7" t="s">
        <v>276</v>
      </c>
      <c r="B23" s="4">
        <v>2290</v>
      </c>
    </row>
    <row r="24" spans="1:2" x14ac:dyDescent="0.25">
      <c r="A24" s="7" t="s">
        <v>277</v>
      </c>
      <c r="B24" s="4">
        <v>940</v>
      </c>
    </row>
    <row r="25" spans="1:2" x14ac:dyDescent="0.25">
      <c r="A25" s="7" t="s">
        <v>278</v>
      </c>
      <c r="B25" s="4">
        <v>1100</v>
      </c>
    </row>
    <row r="26" spans="1:2" x14ac:dyDescent="0.25">
      <c r="A26" s="7" t="s">
        <v>279</v>
      </c>
      <c r="B26" s="4">
        <v>1100</v>
      </c>
    </row>
    <row r="27" spans="1:2" x14ac:dyDescent="0.25">
      <c r="A27" s="7" t="s">
        <v>280</v>
      </c>
      <c r="B27" s="4">
        <v>1100</v>
      </c>
    </row>
    <row r="28" spans="1:2" x14ac:dyDescent="0.25">
      <c r="A28" s="7" t="s">
        <v>281</v>
      </c>
      <c r="B28" s="4">
        <v>1100</v>
      </c>
    </row>
    <row r="29" spans="1:2" x14ac:dyDescent="0.25">
      <c r="A29" s="7" t="s">
        <v>256</v>
      </c>
      <c r="B29" s="4">
        <v>35229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77ED-1D55-4D9F-B42E-C8D4D8FE3418}">
  <dimension ref="A3:B15"/>
  <sheetViews>
    <sheetView workbookViewId="0">
      <selection activeCell="R26" sqref="R26"/>
    </sheetView>
  </sheetViews>
  <sheetFormatPr defaultRowHeight="15" x14ac:dyDescent="0.25"/>
  <cols>
    <col min="1" max="1" width="13.42578125" bestFit="1" customWidth="1"/>
    <col min="2" max="2" width="33" bestFit="1" customWidth="1"/>
  </cols>
  <sheetData>
    <row r="3" spans="1:2" x14ac:dyDescent="0.25">
      <c r="A3" s="5" t="s">
        <v>285</v>
      </c>
      <c r="B3" t="s">
        <v>287</v>
      </c>
    </row>
    <row r="4" spans="1:2" x14ac:dyDescent="0.25">
      <c r="A4" s="7">
        <v>2037</v>
      </c>
      <c r="B4" s="4">
        <v>300</v>
      </c>
    </row>
    <row r="5" spans="1:2" x14ac:dyDescent="0.25">
      <c r="A5" s="7">
        <v>2038</v>
      </c>
      <c r="B5" s="4">
        <v>600</v>
      </c>
    </row>
    <row r="6" spans="1:2" x14ac:dyDescent="0.25">
      <c r="A6" s="7">
        <v>2039</v>
      </c>
      <c r="B6" s="4">
        <v>600</v>
      </c>
    </row>
    <row r="7" spans="1:2" x14ac:dyDescent="0.25">
      <c r="A7" s="7">
        <v>2040</v>
      </c>
      <c r="B7" s="4">
        <v>1600</v>
      </c>
    </row>
    <row r="8" spans="1:2" x14ac:dyDescent="0.25">
      <c r="A8" s="7">
        <v>2041</v>
      </c>
      <c r="B8" s="4">
        <v>1000</v>
      </c>
    </row>
    <row r="9" spans="1:2" x14ac:dyDescent="0.25">
      <c r="A9" s="7">
        <v>2042</v>
      </c>
      <c r="B9" s="4">
        <v>1000</v>
      </c>
    </row>
    <row r="10" spans="1:2" x14ac:dyDescent="0.25">
      <c r="A10" s="7">
        <v>2043</v>
      </c>
      <c r="B10" s="4">
        <v>2100</v>
      </c>
    </row>
    <row r="11" spans="1:2" x14ac:dyDescent="0.25">
      <c r="A11" s="7">
        <v>2044</v>
      </c>
      <c r="B11" s="4">
        <v>2200</v>
      </c>
    </row>
    <row r="12" spans="1:2" x14ac:dyDescent="0.25">
      <c r="A12" s="7">
        <v>2045</v>
      </c>
      <c r="B12" s="4">
        <v>1100</v>
      </c>
    </row>
    <row r="13" spans="1:2" x14ac:dyDescent="0.25">
      <c r="A13" s="7">
        <v>2046</v>
      </c>
      <c r="B13" s="4">
        <v>1100</v>
      </c>
    </row>
    <row r="14" spans="1:2" x14ac:dyDescent="0.25">
      <c r="A14" s="7">
        <v>2047</v>
      </c>
      <c r="B14" s="4">
        <v>1100</v>
      </c>
    </row>
    <row r="15" spans="1:2" x14ac:dyDescent="0.25">
      <c r="A15" s="7" t="s">
        <v>256</v>
      </c>
      <c r="B15" s="4">
        <v>12700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E1D0-DECB-4E0C-ABE9-8D28C1AAF8DF}">
  <dimension ref="A3:B6"/>
  <sheetViews>
    <sheetView workbookViewId="0">
      <selection activeCell="N16" sqref="N16"/>
    </sheetView>
  </sheetViews>
  <sheetFormatPr defaultRowHeight="15" x14ac:dyDescent="0.25"/>
  <cols>
    <col min="1" max="1" width="13.42578125" bestFit="1" customWidth="1"/>
    <col min="2" max="2" width="19.5703125" bestFit="1" customWidth="1"/>
    <col min="3" max="3" width="11.28515625" bestFit="1" customWidth="1"/>
  </cols>
  <sheetData>
    <row r="3" spans="1:2" x14ac:dyDescent="0.25">
      <c r="A3" s="5" t="s">
        <v>285</v>
      </c>
      <c r="B3" t="s">
        <v>286</v>
      </c>
    </row>
    <row r="4" spans="1:2" x14ac:dyDescent="0.25">
      <c r="A4" s="7" t="s">
        <v>268</v>
      </c>
      <c r="B4" s="4">
        <v>525</v>
      </c>
    </row>
    <row r="5" spans="1:2" x14ac:dyDescent="0.25">
      <c r="A5" s="7" t="s">
        <v>284</v>
      </c>
      <c r="B5" s="4">
        <v>75</v>
      </c>
    </row>
    <row r="6" spans="1:2" x14ac:dyDescent="0.25">
      <c r="A6" s="7" t="s">
        <v>256</v>
      </c>
      <c r="B6" s="4">
        <v>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AD4575580A45A32A311003C10D23" ma:contentTypeVersion="20" ma:contentTypeDescription="Create a new document." ma:contentTypeScope="" ma:versionID="c95172af52a8cb683b625f132fc527b9">
  <xsd:schema xmlns:xsd="http://www.w3.org/2001/XMLSchema" xmlns:xs="http://www.w3.org/2001/XMLSchema" xmlns:p="http://schemas.microsoft.com/office/2006/metadata/properties" xmlns:ns2="18eb8153-de22-41f9-a070-d3213110d4de" xmlns:ns3="0924a333-5de6-45ad-be92-5bfffb577cfe" targetNamespace="http://schemas.microsoft.com/office/2006/metadata/properties" ma:root="true" ma:fieldsID="b16558e861352359245934334057cbfa" ns2:_="" ns3:_="">
    <xsd:import namespace="18eb8153-de22-41f9-a070-d3213110d4de"/>
    <xsd:import namespace="0924a333-5de6-45ad-be92-5bfffb577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Provider" minOccurs="0"/>
                <xsd:element ref="ns2:Module" minOccurs="0"/>
                <xsd:element ref="ns2:Email_x0020_address_x0020_of_x0020_the_x0020_user" minOccurs="0"/>
                <xsd:element ref="ns2:Owner_x0020_of_x0020_the_x0020_license_x0028_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153-de22-41f9-a070-d3213110d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vider" ma:index="24" nillable="true" ma:displayName="Provider" ma:format="Dropdown" ma:internalName="Provider">
      <xsd:simpleType>
        <xsd:restriction base="dms:Choice">
          <xsd:enumeration value="AlphaSense"/>
          <xsd:enumeration value="BNEF"/>
          <xsd:enumeration value="S&amp;P CapIQ"/>
        </xsd:restriction>
      </xsd:simpleType>
    </xsd:element>
    <xsd:element name="Module" ma:index="25" nillable="true" ma:displayName="Module" ma:internalName="Module">
      <xsd:simpleType>
        <xsd:restriction base="dms:Text"/>
      </xsd:simpleType>
    </xsd:element>
    <xsd:element name="Email_x0020_address_x0020_of_x0020_the_x0020_user" ma:index="26" nillable="true" ma:displayName="Email address of the user" ma:format="Dropdown" ma:internalName="Email_x0020_address_x0020_of_x0020_the_x0020_user">
      <xsd:simpleType>
        <xsd:restriction base="dms:Text">
          <xsd:maxLength value="255"/>
        </xsd:restriction>
      </xsd:simpleType>
    </xsd:element>
    <xsd:element name="Owner_x0020_of_x0020_the_x0020_license_x0028_s_x0029_" ma:index="27" nillable="true" ma:displayName="Owner of the license(s)" ma:format="Dropdown" ma:list="UserInfo" ma:SharePointGroup="0" ma:internalName="Owner_x0020_of_x0020_the_x0020_license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a333-5de6-45ad-be92-5bfffb577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389379-6b59-4203-b744-5dd4337e0698}" ma:internalName="TaxCatchAll" ma:showField="CatchAllData" ma:web="0924a333-5de6-45ad-be92-5bfffb577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vider xmlns="18eb8153-de22-41f9-a070-d3213110d4de" xsi:nil="true"/>
    <Owner_x0020_of_x0020_the_x0020_license_x0028_s_x0029_ xmlns="18eb8153-de22-41f9-a070-d3213110d4de">
      <UserInfo>
        <DisplayName/>
        <AccountId xsi:nil="true"/>
        <AccountType/>
      </UserInfo>
    </Owner_x0020_of_x0020_the_x0020_license_x0028_s_x0029_>
    <Module xmlns="18eb8153-de22-41f9-a070-d3213110d4de" xsi:nil="true"/>
    <Email_x0020_address_x0020_of_x0020_the_x0020_user xmlns="18eb8153-de22-41f9-a070-d3213110d4de" xsi:nil="true"/>
    <TaxCatchAll xmlns="0924a333-5de6-45ad-be92-5bfffb577cfe" xsi:nil="true"/>
    <lcf76f155ced4ddcb4097134ff3c332f xmlns="18eb8153-de22-41f9-a070-d3213110d4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C3F4A4-0825-441D-B54E-899F08F7E895}"/>
</file>

<file path=customXml/itemProps2.xml><?xml version="1.0" encoding="utf-8"?>
<ds:datastoreItem xmlns:ds="http://schemas.openxmlformats.org/officeDocument/2006/customXml" ds:itemID="{D30CA496-8035-4C73-8C03-2E88273F4EF8}"/>
</file>

<file path=customXml/itemProps3.xml><?xml version="1.0" encoding="utf-8"?>
<ds:datastoreItem xmlns:ds="http://schemas.openxmlformats.org/officeDocument/2006/customXml" ds:itemID="{D9918AC5-0692-41D1-952C-D6937F0BD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A&amp;R</vt:lpstr>
      <vt:lpstr>IRP &amp; RFP</vt:lpstr>
      <vt:lpstr>Uprates</vt:lpstr>
      <vt:lpstr>A&amp;R Pivot</vt:lpstr>
      <vt:lpstr>IRP &amp; RFP Pivot</vt:lpstr>
      <vt:lpstr>Uprates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Nordenmalm, David</dc:creator>
  <cp:lastModifiedBy>Nordenmalm, David</cp:lastModifiedBy>
  <dcterms:created xsi:type="dcterms:W3CDTF">2026-05-11T19:59:50Z</dcterms:created>
  <dcterms:modified xsi:type="dcterms:W3CDTF">2026-05-11T19:59:50Z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0x01010082ADAD4575580A45A32A311003C10D23</vt:lpwstr>
  </property>
  <property fmtid="{D5CDD505-2E9C-101B-9397-08002B2CF9AE}" pid="3" name="MSIP_Label_59844090-d756-4ce6-b8ef-4e0e3f430d0e_Enabled">
    <vt:lpwstr>True</vt:lpwstr>
  </property>
  <property fmtid="{D5CDD505-2E9C-101B-9397-08002B2CF9AE}" pid="4" name="MSIP_Label_59844090-d756-4ce6-b8ef-4e0e3f430d0e_SiteId">
    <vt:lpwstr>254ba93e-1f6f-48f3-90e6-e2766664b477</vt:lpwstr>
  </property>
  <property fmtid="{D5CDD505-2E9C-101B-9397-08002B2CF9AE}" pid="5" name="MSIP_Label_59844090-d756-4ce6-b8ef-4e0e3f430d0e_SetDate">
    <vt:lpwstr>2026-08-11T15:07:56Z</vt:lpwstr>
  </property>
  <property fmtid="{D5CDD505-2E9C-101B-9397-08002B2CF9AE}" pid="6" name="MSIP_Label_59844090-d756-4ce6-b8ef-4e0e3f430d0e_Name">
    <vt:lpwstr>Confidential \ Confidential Unencrypted</vt:lpwstr>
  </property>
  <property fmtid="{D5CDD505-2E9C-101B-9397-08002B2CF9AE}" pid="7" name="MSIP_Label_59844090-d756-4ce6-b8ef-4e0e3f430d0e_ActionId">
    <vt:lpwstr>c3cff312-8122-4ef8-9c5c-9440a33a8d00</vt:lpwstr>
  </property>
  <property fmtid="{D5CDD505-2E9C-101B-9397-08002B2CF9AE}" pid="8" name="MSIP_Label_59844090-d756-4ce6-b8ef-4e0e3f430d0e_Removed">
    <vt:lpwstr>False</vt:lpwstr>
  </property>
  <property fmtid="{D5CDD505-2E9C-101B-9397-08002B2CF9AE}" pid="9" name="MSIP_Label_59844090-d756-4ce6-b8ef-4e0e3f430d0e_Parent">
    <vt:lpwstr>37fac670-6c08-454c-9763-546258b8d606</vt:lpwstr>
  </property>
  <property fmtid="{D5CDD505-2E9C-101B-9397-08002B2CF9AE}" pid="10" name="MSIP_Label_59844090-d756-4ce6-b8ef-4e0e3f430d0e_Extended_MSFT_Method">
    <vt:lpwstr>Standard</vt:lpwstr>
  </property>
  <property fmtid="{D5CDD505-2E9C-101B-9397-08002B2CF9AE}" pid="11" name="MSIP_Label_37fac670-6c08-454c-9763-546258b8d606_Enabled">
    <vt:lpwstr>True</vt:lpwstr>
  </property>
  <property fmtid="{D5CDD505-2E9C-101B-9397-08002B2CF9AE}" pid="12" name="MSIP_Label_37fac670-6c08-454c-9763-546258b8d606_SiteId">
    <vt:lpwstr>254ba93e-1f6f-48f3-90e6-e2766664b477</vt:lpwstr>
  </property>
  <property fmtid="{D5CDD505-2E9C-101B-9397-08002B2CF9AE}" pid="13" name="MSIP_Label_37fac670-6c08-454c-9763-546258b8d606_SetDate">
    <vt:lpwstr>2026-08-11T15:07:56Z</vt:lpwstr>
  </property>
  <property fmtid="{D5CDD505-2E9C-101B-9397-08002B2CF9AE}" pid="14" name="MSIP_Label_37fac670-6c08-454c-9763-546258b8d606_Name">
    <vt:lpwstr>Confidential</vt:lpwstr>
  </property>
  <property fmtid="{D5CDD505-2E9C-101B-9397-08002B2CF9AE}" pid="15" name="MSIP_Label_37fac670-6c08-454c-9763-546258b8d606_ActionId">
    <vt:lpwstr>17c93405-aaa8-4083-948d-d57f3248f6f5</vt:lpwstr>
  </property>
  <property fmtid="{D5CDD505-2E9C-101B-9397-08002B2CF9AE}" pid="16" name="MSIP_Label_37fac670-6c08-454c-9763-546258b8d606_Extended_MSFT_Method">
    <vt:lpwstr>Standard</vt:lpwstr>
  </property>
  <property fmtid="{D5CDD505-2E9C-101B-9397-08002B2CF9AE}" pid="17" name="Sensitivity">
    <vt:lpwstr>Confidential \ Confidential Unencrypted Confidential</vt:lpwstr>
  </property>
</Properties>
</file>