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energyag.sharepoint.com/teams/M_SECorporateStrategy/Shared Documents/General/40_Projects/22_Future Energy Landscape 2026/14 EBSO Follow-up Action Items/"/>
    </mc:Choice>
  </mc:AlternateContent>
  <xr:revisionPtr revIDLastSave="34" documentId="11_8E0CC14295838AF1E84726739A763DDBFBA55AD5" xr6:coauthVersionLast="47" xr6:coauthVersionMax="47" xr10:uidLastSave="{1043050C-DB98-437E-A34A-76D5FDEAE120}"/>
  <bookViews>
    <workbookView xWindow="-120" yWindow="-120" windowWidth="29040" windowHeight="17520" activeTab="1" xr2:uid="{92178530-8E1E-4041-9123-FC2A48C44E66}"/>
  </bookViews>
  <sheets>
    <sheet name="intro" sheetId="1" r:id="rId1"/>
    <sheet name="dat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2" i="2"/>
  <c r="I6" i="2"/>
  <c r="I7" i="2"/>
  <c r="I5" i="2"/>
  <c r="H3" i="2"/>
  <c r="H4" i="2"/>
  <c r="H2" i="2"/>
  <c r="H6" i="2"/>
  <c r="H7" i="2"/>
  <c r="H5" i="2"/>
  <c r="D6" i="2"/>
  <c r="E6" i="2"/>
  <c r="F6" i="2"/>
  <c r="D7" i="2"/>
  <c r="E7" i="2"/>
  <c r="F7" i="2"/>
  <c r="E5" i="2"/>
  <c r="F5" i="2"/>
  <c r="D5" i="2"/>
</calcChain>
</file>

<file path=xl/sharedStrings.xml><?xml version="1.0" encoding="utf-8"?>
<sst xmlns="http://schemas.openxmlformats.org/spreadsheetml/2006/main" count="42" uniqueCount="26">
  <si>
    <t>EBSO follow up - data center in space</t>
  </si>
  <si>
    <t>Sheet</t>
  </si>
  <si>
    <t>Content</t>
  </si>
  <si>
    <t>Data</t>
  </si>
  <si>
    <t>Quantitative scenario definitions - GW moved from earth to space</t>
  </si>
  <si>
    <t>Indicator</t>
  </si>
  <si>
    <t>Unit</t>
  </si>
  <si>
    <t>Source</t>
  </si>
  <si>
    <t>Comment</t>
  </si>
  <si>
    <t>Scenario</t>
  </si>
  <si>
    <t>GW moved to space - global</t>
  </si>
  <si>
    <t>Disruptive</t>
  </si>
  <si>
    <t>GW moved to space - USA</t>
  </si>
  <si>
    <t>Base</t>
  </si>
  <si>
    <t>SpaceX Vision</t>
  </si>
  <si>
    <t>GW Facility Capacity Total Installed (cum.)</t>
  </si>
  <si>
    <t>Share of DC in US</t>
  </si>
  <si>
    <t>Nvidia assumption</t>
  </si>
  <si>
    <t>2040 extrapolated</t>
  </si>
  <si>
    <t>2035 GS MC DC analysis p.4</t>
  </si>
  <si>
    <t>2036 GS MC DC analysis p.4</t>
  </si>
  <si>
    <t>2037 GS MC DC analysis p.4</t>
  </si>
  <si>
    <t>US downscaled using Nvidia estimate</t>
  </si>
  <si>
    <t>Reduction % 2030</t>
  </si>
  <si>
    <t>Reduction % 2035</t>
  </si>
  <si>
    <t>Reduction %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</si>
</sst>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8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9" fontId="0" fillId="2" borderId="0" xfId="0" applyNumberFormat="1" applyFill="1"/>
    <xf numFmtId="0" fontId="2" fillId="0" borderId="0" xfId="0" applyFont="1"/>
    <xf numFmtId="1" fontId="0" fillId="0" borderId="0" xfId="0" applyNumberFormat="1"/>
    <xf numFmtId="0" fontId="4" fillId="2" borderId="0" xfId="0" applyFont="1" applyFill="1"/>
    <xf numFmtId="0" fontId="5" fillId="0" borderId="0" xfId="0" applyFont="1"/>
    <xf numFmtId="1" fontId="5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24</xdr:col>
      <xdr:colOff>487680</xdr:colOff>
      <xdr:row>59</xdr:row>
      <xdr:rowOff>160020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91F3E31-A9A6-E7CD-ED3C-C766BA780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2377440"/>
          <a:ext cx="15240000" cy="857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A9BD-77C3-4B97-B56A-160B39DE6D99}">
  <dimension ref="A1:D6"/>
  <sheetViews>
    <sheetView zoomScale="68" workbookViewId="0">
      <selection activeCell="C6" sqref="C6"/>
    </sheetView>
  </sheetViews>
  <sheetFormatPr defaultColWidth="8.85546875" defaultRowHeight="15" x14ac:dyDescent="0.25"/>
  <cols>
    <col min="1" max="1" width="8.85546875" style="1"/>
    <col min="2" max="2" width="19.5703125" style="1" customWidth="1"/>
    <col min="3" max="16384" width="8.85546875" style="1"/>
  </cols>
  <sheetData>
    <row r="1" spans="1:4" ht="21" x14ac:dyDescent="0.35">
      <c r="A1" s="7" t="s">
        <v>0</v>
      </c>
    </row>
    <row r="3" spans="1:4" x14ac:dyDescent="0.25">
      <c r="B3" s="3" t="s">
        <v>1</v>
      </c>
      <c r="C3" s="3" t="s">
        <v>2</v>
      </c>
    </row>
    <row r="4" spans="1:4" x14ac:dyDescent="0.25">
      <c r="B4" s="1" t="s">
        <v>3</v>
      </c>
      <c r="C4" s="1" t="s">
        <v>4</v>
      </c>
    </row>
    <row r="6" spans="1:4" x14ac:dyDescent="0.25">
      <c r="B6" s="1" t="s">
        <v>16</v>
      </c>
      <c r="C6" s="4">
        <v>0.65</v>
      </c>
      <c r="D6" s="1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E8FE-A1DC-4085-A2A0-421AE6C6610B}">
  <dimension ref="A1:K7"/>
  <sheetViews>
    <sheetView tabSelected="1" workbookViewId="0">
      <selection activeCell="D12" sqref="D12"/>
    </sheetView>
  </sheetViews>
  <sheetFormatPr defaultRowHeight="15" x14ac:dyDescent="0.25"/>
  <cols>
    <col min="1" max="1" width="33.5703125" customWidth="1"/>
    <col min="2" max="2" width="16.5703125" customWidth="1"/>
    <col min="3" max="3" width="40.42578125" customWidth="1"/>
    <col min="7" max="7" width="16.85546875" bestFit="1" customWidth="1"/>
    <col min="8" max="9" width="16.85546875" customWidth="1"/>
    <col min="10" max="10" width="29.28515625" customWidth="1"/>
  </cols>
  <sheetData>
    <row r="1" spans="1:11" x14ac:dyDescent="0.25">
      <c r="A1" s="2" t="s">
        <v>5</v>
      </c>
      <c r="B1" s="2" t="s">
        <v>9</v>
      </c>
      <c r="C1" s="2" t="s">
        <v>6</v>
      </c>
      <c r="D1" s="2">
        <v>2030</v>
      </c>
      <c r="E1" s="2">
        <v>2035</v>
      </c>
      <c r="F1" s="2">
        <v>2040</v>
      </c>
      <c r="G1" s="2" t="s">
        <v>23</v>
      </c>
      <c r="H1" s="2" t="s">
        <v>24</v>
      </c>
      <c r="I1" s="2" t="s">
        <v>25</v>
      </c>
      <c r="J1" s="2" t="s">
        <v>7</v>
      </c>
      <c r="K1" s="2" t="s">
        <v>8</v>
      </c>
    </row>
    <row r="2" spans="1:11" x14ac:dyDescent="0.25">
      <c r="A2" t="s">
        <v>10</v>
      </c>
      <c r="B2" t="s">
        <v>11</v>
      </c>
      <c r="C2" t="s">
        <v>15</v>
      </c>
      <c r="D2">
        <v>0</v>
      </c>
      <c r="E2" s="5">
        <v>52</v>
      </c>
      <c r="F2">
        <v>100</v>
      </c>
      <c r="G2">
        <v>0</v>
      </c>
      <c r="H2" s="10">
        <f>E2/580</f>
        <v>8.9655172413793102E-2</v>
      </c>
      <c r="I2" s="10">
        <f>F2/749</f>
        <v>0.13351134846461948</v>
      </c>
      <c r="J2" t="s">
        <v>19</v>
      </c>
      <c r="K2" t="s">
        <v>18</v>
      </c>
    </row>
    <row r="3" spans="1:11" x14ac:dyDescent="0.25">
      <c r="A3" t="s">
        <v>10</v>
      </c>
      <c r="B3" s="2" t="s">
        <v>13</v>
      </c>
      <c r="C3" t="s">
        <v>15</v>
      </c>
      <c r="D3">
        <v>0</v>
      </c>
      <c r="E3" s="5">
        <v>23</v>
      </c>
      <c r="F3">
        <v>40</v>
      </c>
      <c r="G3">
        <v>0</v>
      </c>
      <c r="H3" s="10">
        <f t="shared" ref="H3:I4" si="0">E3/580</f>
        <v>3.9655172413793106E-2</v>
      </c>
      <c r="I3" s="10">
        <f t="shared" ref="I3:I4" si="1">F3/749</f>
        <v>5.3404539385847799E-2</v>
      </c>
      <c r="J3" t="s">
        <v>20</v>
      </c>
      <c r="K3" t="s">
        <v>18</v>
      </c>
    </row>
    <row r="4" spans="1:11" x14ac:dyDescent="0.25">
      <c r="A4" s="8" t="s">
        <v>10</v>
      </c>
      <c r="B4" s="8" t="s">
        <v>14</v>
      </c>
      <c r="C4" s="8" t="s">
        <v>15</v>
      </c>
      <c r="D4" s="8">
        <v>0</v>
      </c>
      <c r="E4" s="8">
        <v>100</v>
      </c>
      <c r="F4" s="8">
        <v>200</v>
      </c>
      <c r="G4" s="8">
        <v>0</v>
      </c>
      <c r="H4" s="10">
        <f t="shared" si="0"/>
        <v>0.17241379310344829</v>
      </c>
      <c r="I4" s="10">
        <f t="shared" si="1"/>
        <v>0.26702269692923897</v>
      </c>
      <c r="J4" s="8" t="s">
        <v>21</v>
      </c>
      <c r="K4" s="8" t="s">
        <v>18</v>
      </c>
    </row>
    <row r="5" spans="1:11" x14ac:dyDescent="0.25">
      <c r="A5" t="s">
        <v>12</v>
      </c>
      <c r="B5" t="s">
        <v>11</v>
      </c>
      <c r="C5" t="s">
        <v>15</v>
      </c>
      <c r="D5" s="6">
        <f>D2*intro!$C$6</f>
        <v>0</v>
      </c>
      <c r="E5" s="6">
        <f>E2*intro!$C$6</f>
        <v>33.800000000000004</v>
      </c>
      <c r="F5" s="6">
        <f>F2*intro!$C$6</f>
        <v>65</v>
      </c>
      <c r="G5" s="6">
        <v>0</v>
      </c>
      <c r="H5" s="10">
        <f>E5/395</f>
        <v>8.5569620253164572E-2</v>
      </c>
      <c r="I5" s="10">
        <f>F5/509</f>
        <v>0.12770137524557956</v>
      </c>
      <c r="K5" t="s">
        <v>22</v>
      </c>
    </row>
    <row r="6" spans="1:11" x14ac:dyDescent="0.25">
      <c r="A6" t="s">
        <v>12</v>
      </c>
      <c r="B6" s="2" t="s">
        <v>13</v>
      </c>
      <c r="C6" t="s">
        <v>15</v>
      </c>
      <c r="D6" s="6">
        <f>D3*intro!$C$6</f>
        <v>0</v>
      </c>
      <c r="E6" s="6">
        <f>E3*intro!$C$6</f>
        <v>14.950000000000001</v>
      </c>
      <c r="F6" s="6">
        <f>F3*intro!$C$6</f>
        <v>26</v>
      </c>
      <c r="G6" s="6">
        <v>0</v>
      </c>
      <c r="H6" s="10">
        <f t="shared" ref="H6:I7" si="2">E6/395</f>
        <v>3.7848101265822789E-2</v>
      </c>
      <c r="I6" s="10">
        <f t="shared" ref="I6:I7" si="3">F6/509</f>
        <v>5.1080550098231828E-2</v>
      </c>
      <c r="K6" t="s">
        <v>22</v>
      </c>
    </row>
    <row r="7" spans="1:11" x14ac:dyDescent="0.25">
      <c r="A7" s="8" t="s">
        <v>12</v>
      </c>
      <c r="B7" s="8" t="s">
        <v>14</v>
      </c>
      <c r="C7" s="8" t="s">
        <v>15</v>
      </c>
      <c r="D7" s="9">
        <f>D4*intro!$C$6</f>
        <v>0</v>
      </c>
      <c r="E7" s="9">
        <f>E4*intro!$C$6</f>
        <v>65</v>
      </c>
      <c r="F7" s="9">
        <f>F4*intro!$C$6</f>
        <v>130</v>
      </c>
      <c r="G7" s="9">
        <v>0</v>
      </c>
      <c r="H7" s="10">
        <f t="shared" si="2"/>
        <v>0.16455696202531644</v>
      </c>
      <c r="I7" s="10">
        <f t="shared" si="3"/>
        <v>0.25540275049115913</v>
      </c>
      <c r="J7" s="8"/>
      <c r="K7" s="8" t="s">
        <v>22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AD4575580A45A32A311003C10D23" ma:contentTypeVersion="20" ma:contentTypeDescription="Create a new document." ma:contentTypeScope="" ma:versionID="c95172af52a8cb683b625f132fc527b9">
  <xsd:schema xmlns:xsd="http://www.w3.org/2001/XMLSchema" xmlns:xs="http://www.w3.org/2001/XMLSchema" xmlns:p="http://schemas.microsoft.com/office/2006/metadata/properties" xmlns:ns2="18eb8153-de22-41f9-a070-d3213110d4de" xmlns:ns3="0924a333-5de6-45ad-be92-5bfffb577cfe" targetNamespace="http://schemas.microsoft.com/office/2006/metadata/properties" ma:root="true" ma:fieldsID="b16558e861352359245934334057cbfa" ns2:_="" ns3:_="">
    <xsd:import namespace="18eb8153-de22-41f9-a070-d3213110d4de"/>
    <xsd:import namespace="0924a333-5de6-45ad-be92-5bfffb577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Provider" minOccurs="0"/>
                <xsd:element ref="ns2:Module" minOccurs="0"/>
                <xsd:element ref="ns2:Email_x0020_address_x0020_of_x0020_the_x0020_user" minOccurs="0"/>
                <xsd:element ref="ns2:Owner_x0020_of_x0020_the_x0020_license_x0028_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153-de22-41f9-a070-d3213110d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vider" ma:index="24" nillable="true" ma:displayName="Provider" ma:format="Dropdown" ma:internalName="Provider">
      <xsd:simpleType>
        <xsd:restriction base="dms:Choice">
          <xsd:enumeration value="AlphaSense"/>
          <xsd:enumeration value="BNEF"/>
          <xsd:enumeration value="S&amp;P CapIQ"/>
        </xsd:restriction>
      </xsd:simpleType>
    </xsd:element>
    <xsd:element name="Module" ma:index="25" nillable="true" ma:displayName="Module" ma:internalName="Module">
      <xsd:simpleType>
        <xsd:restriction base="dms:Text"/>
      </xsd:simpleType>
    </xsd:element>
    <xsd:element name="Email_x0020_address_x0020_of_x0020_the_x0020_user" ma:index="26" nillable="true" ma:displayName="Email address of the user" ma:format="Dropdown" ma:internalName="Email_x0020_address_x0020_of_x0020_the_x0020_user">
      <xsd:simpleType>
        <xsd:restriction base="dms:Text">
          <xsd:maxLength value="255"/>
        </xsd:restriction>
      </xsd:simpleType>
    </xsd:element>
    <xsd:element name="Owner_x0020_of_x0020_the_x0020_license_x0028_s_x0029_" ma:index="27" nillable="true" ma:displayName="Owner of the license(s)" ma:format="Dropdown" ma:list="UserInfo" ma:SharePointGroup="0" ma:internalName="Owner_x0020_of_x0020_the_x0020_license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a333-5de6-45ad-be92-5bfffb577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389379-6b59-4203-b744-5dd4337e0698}" ma:internalName="TaxCatchAll" ma:showField="CatchAllData" ma:web="0924a333-5de6-45ad-be92-5bfffb577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vider xmlns="18eb8153-de22-41f9-a070-d3213110d4de" xsi:nil="true"/>
    <Owner_x0020_of_x0020_the_x0020_license_x0028_s_x0029_ xmlns="18eb8153-de22-41f9-a070-d3213110d4de">
      <UserInfo>
        <DisplayName/>
        <AccountId xsi:nil="true"/>
        <AccountType/>
      </UserInfo>
    </Owner_x0020_of_x0020_the_x0020_license_x0028_s_x0029_>
    <Module xmlns="18eb8153-de22-41f9-a070-d3213110d4de" xsi:nil="true"/>
    <Email_x0020_address_x0020_of_x0020_the_x0020_user xmlns="18eb8153-de22-41f9-a070-d3213110d4de" xsi:nil="true"/>
    <TaxCatchAll xmlns="0924a333-5de6-45ad-be92-5bfffb577cfe" xsi:nil="true"/>
    <lcf76f155ced4ddcb4097134ff3c332f xmlns="18eb8153-de22-41f9-a070-d3213110d4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63F7E4-437D-4C48-B500-0A88D3B25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b8153-de22-41f9-a070-d3213110d4de"/>
    <ds:schemaRef ds:uri="0924a333-5de6-45ad-be92-5bfffb577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8957C1-DC24-49CE-8F8F-D6EFE8C9A8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192453-A76A-42C9-A83F-4C197C74E3FD}">
  <ds:schemaRefs>
    <ds:schemaRef ds:uri="http://schemas.microsoft.com/office/2006/metadata/properties"/>
    <ds:schemaRef ds:uri="http://schemas.microsoft.com/office/infopath/2007/PartnerControls"/>
    <ds:schemaRef ds:uri="18eb8153-de22-41f9-a070-d3213110d4de"/>
    <ds:schemaRef ds:uri="0924a333-5de6-45ad-be92-5bfffb577c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Levi-von Appen, Sebastian</dc:creator>
  <cp:lastModifiedBy>Loeffler, Konstantin Emanuel</cp:lastModifiedBy>
  <dcterms:created xsi:type="dcterms:W3CDTF">2026-08-12T12:45:07Z</dcterms:created>
  <dcterms:modified xsi:type="dcterms:W3CDTF">2026-08-12T14:00:29Z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844090-d756-4ce6-b8ef-4e0e3f430d0e_Removed">
    <vt:lpwstr>False</vt:lpwstr>
  </property>
  <property fmtid="{D5CDD505-2E9C-101B-9397-08002B2CF9AE}" pid="3" name="MSIP_Label_59844090-d756-4ce6-b8ef-4e0e3f430d0e_ActionId">
    <vt:lpwstr>47270bb1-313c-4b28-92be-4f1b747b4883</vt:lpwstr>
  </property>
  <property fmtid="{D5CDD505-2E9C-101B-9397-08002B2CF9AE}" pid="4" name="MSIP_Label_59844090-d756-4ce6-b8ef-4e0e3f430d0e_Name">
    <vt:lpwstr>Confidential \ Confidential Unencrypted</vt:lpwstr>
  </property>
  <property fmtid="{D5CDD505-2E9C-101B-9397-08002B2CF9AE}" pid="5" name="MSIP_Label_59844090-d756-4ce6-b8ef-4e0e3f430d0e_SetDate">
    <vt:lpwstr>2026-08-12T12:55:55Z</vt:lpwstr>
  </property>
  <property fmtid="{D5CDD505-2E9C-101B-9397-08002B2CF9AE}" pid="6" name="MSIP_Label_59844090-d756-4ce6-b8ef-4e0e3f430d0e_SiteId">
    <vt:lpwstr>254ba93e-1f6f-48f3-90e6-e2766664b477</vt:lpwstr>
  </property>
  <property fmtid="{D5CDD505-2E9C-101B-9397-08002B2CF9AE}" pid="7" name="MSIP_Label_59844090-d756-4ce6-b8ef-4e0e3f430d0e_Enabled">
    <vt:lpwstr>True</vt:lpwstr>
  </property>
  <property fmtid="{D5CDD505-2E9C-101B-9397-08002B2CF9AE}" pid="8" name="ContentTypeId">
    <vt:lpwstr>0x01010082ADAD4575580A45A32A311003C10D23</vt:lpwstr>
  </property>
  <property fmtid="{D5CDD505-2E9C-101B-9397-08002B2CF9AE}" pid="9" name="MSIP_Label_59844090-d756-4ce6-b8ef-4e0e3f430d0e_Parent">
    <vt:lpwstr>37fac670-6c08-454c-9763-546258b8d606</vt:lpwstr>
  </property>
  <property fmtid="{D5CDD505-2E9C-101B-9397-08002B2CF9AE}" pid="10" name="MSIP_Label_59844090-d756-4ce6-b8ef-4e0e3f430d0e_Extended_MSFT_Method">
    <vt:lpwstr>Standard</vt:lpwstr>
  </property>
  <property fmtid="{D5CDD505-2E9C-101B-9397-08002B2CF9AE}" pid="11" name="MSIP_Label_37fac670-6c08-454c-9763-546258b8d606_Enabled">
    <vt:lpwstr>True</vt:lpwstr>
  </property>
  <property fmtid="{D5CDD505-2E9C-101B-9397-08002B2CF9AE}" pid="12" name="MSIP_Label_37fac670-6c08-454c-9763-546258b8d606_SiteId">
    <vt:lpwstr>254ba93e-1f6f-48f3-90e6-e2766664b477</vt:lpwstr>
  </property>
  <property fmtid="{D5CDD505-2E9C-101B-9397-08002B2CF9AE}" pid="13" name="MSIP_Label_37fac670-6c08-454c-9763-546258b8d606_SetDate">
    <vt:lpwstr>2026-08-12T12:55:55Z</vt:lpwstr>
  </property>
  <property fmtid="{D5CDD505-2E9C-101B-9397-08002B2CF9AE}" pid="14" name="MSIP_Label_37fac670-6c08-454c-9763-546258b8d606_Name">
    <vt:lpwstr>Confidential</vt:lpwstr>
  </property>
  <property fmtid="{D5CDD505-2E9C-101B-9397-08002B2CF9AE}" pid="15" name="MSIP_Label_37fac670-6c08-454c-9763-546258b8d606_ActionId">
    <vt:lpwstr>e8bbbf8c-1f64-4dc0-8629-a5611438efb9</vt:lpwstr>
  </property>
  <property fmtid="{D5CDD505-2E9C-101B-9397-08002B2CF9AE}" pid="16" name="MSIP_Label_37fac670-6c08-454c-9763-546258b8d606_Extended_MSFT_Method">
    <vt:lpwstr>Standard</vt:lpwstr>
  </property>
  <property fmtid="{D5CDD505-2E9C-101B-9397-08002B2CF9AE}" pid="17" name="Sensitivity">
    <vt:lpwstr>Confidential \ Confidential Unencrypted Confidential</vt:lpwstr>
  </property>
  <property fmtid="{D5CDD505-2E9C-101B-9397-08002B2CF9AE}" pid="18" name="MediaServiceImageTags">
    <vt:lpwstr/>
  </property>
</Properties>
</file>